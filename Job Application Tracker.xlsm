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0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9599039e5092669f/Documents/"/>
    </mc:Choice>
  </mc:AlternateContent>
  <xr:revisionPtr revIDLastSave="0" documentId="8_{D304FB3E-65BB-40D6-A076-376D36708920}" xr6:coauthVersionLast="47" xr6:coauthVersionMax="47" xr10:uidLastSave="{00000000-0000-0000-0000-000000000000}"/>
  <bookViews>
    <workbookView xWindow="-108" yWindow="-108" windowWidth="23256" windowHeight="12456" xr2:uid="{CAFFBF30-AABB-4B33-9478-F3753AC73B93}"/>
  </bookViews>
  <sheets>
    <sheet name="Job Application Tracker" sheetId="1" r:id="rId1"/>
    <sheet name="Pivot Table" sheetId="5" r:id="rId2"/>
    <sheet name="Auto Update Code" sheetId="6" r:id="rId3"/>
  </sheets>
  <calcPr calcId="191028"/>
  <pivotCaches>
    <pivotCache cacheId="330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10" i="1"/>
  <c r="E4" i="1"/>
</calcChain>
</file>

<file path=xl/sharedStrings.xml><?xml version="1.0" encoding="utf-8"?>
<sst xmlns="http://schemas.openxmlformats.org/spreadsheetml/2006/main" count="32" uniqueCount="29">
  <si>
    <t>Resume Submitted</t>
  </si>
  <si>
    <t>Date Today</t>
  </si>
  <si>
    <t>Total Application</t>
  </si>
  <si>
    <t>JOB TRACKER</t>
  </si>
  <si>
    <t>JOB APPLICATION INFORMATION</t>
  </si>
  <si>
    <t>NO.</t>
  </si>
  <si>
    <t>STATUS</t>
  </si>
  <si>
    <t xml:space="preserve">COMPANY </t>
  </si>
  <si>
    <t>JOB TITLE</t>
  </si>
  <si>
    <t>INTERESTED IN ROLE</t>
  </si>
  <si>
    <t>RESUME SUMITTED</t>
  </si>
  <si>
    <t>JOB SUBMITTED</t>
  </si>
  <si>
    <t>ONSITE/REMOTE</t>
  </si>
  <si>
    <t>SALARY</t>
  </si>
  <si>
    <t>LOCATION</t>
  </si>
  <si>
    <t>DATE APPLIED</t>
  </si>
  <si>
    <t>DEADLINE</t>
  </si>
  <si>
    <t>JOB POST LINK</t>
  </si>
  <si>
    <t>Status</t>
  </si>
  <si>
    <t>Count of NO.</t>
  </si>
  <si>
    <t>(blank)</t>
  </si>
  <si>
    <t>Grand Total</t>
  </si>
  <si>
    <t>Onsite/Remote</t>
  </si>
  <si>
    <t>Private Sub Worksheet_SelectionChange(ByVal Target As Range)</t>
  </si>
  <si>
    <t xml:space="preserve">    Dim p As PivotCache</t>
  </si>
  <si>
    <t xml:space="preserve">    For Each p In ThisWorkbook.PivotCaches</t>
  </si>
  <si>
    <t xml:space="preserve">        p.Refresh</t>
  </si>
  <si>
    <t xml:space="preserve">    Next p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</si>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</sst>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F800]dddd\,\ mmmm\ dd\,\ yyyy"/>
  </numFmts>
  <fonts count="8">
    <font>
      <sz val="11"/>
      <color theme="1"/>
      <name val="Aptos Narrow"/>
      <family val="2"/>
      <scheme val="minor"/>
    </font>
    <font>
      <b/>
      <i/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i/>
      <sz val="14"/>
      <color theme="0"/>
      <name val="Aptos Narrow"/>
      <family val="2"/>
      <scheme val="minor"/>
    </font>
    <font>
      <b/>
      <sz val="14"/>
      <color rgb="FF54363B"/>
      <name val="Aptos Narrow"/>
      <family val="2"/>
      <scheme val="minor"/>
    </font>
    <font>
      <b/>
      <sz val="18"/>
      <color rgb="FF54363B"/>
      <name val="Aptos Narrow"/>
      <family val="2"/>
      <scheme val="minor"/>
    </font>
    <font>
      <b/>
      <sz val="18"/>
      <color rgb="FF9A7B7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C8CF"/>
        <bgColor indexed="64"/>
      </patternFill>
    </fill>
    <fill>
      <patternFill patternType="solid">
        <fgColor rgb="FFCEADAE"/>
        <bgColor indexed="64"/>
      </patternFill>
    </fill>
    <fill>
      <patternFill patternType="solid">
        <fgColor rgb="FF54363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9" xfId="0" applyBorder="1"/>
    <xf numFmtId="0" fontId="0" fillId="0" borderId="7" xfId="0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0" fillId="0" borderId="8" xfId="0" applyBorder="1"/>
    <xf numFmtId="0" fontId="3" fillId="3" borderId="7" xfId="0" applyFont="1" applyFill="1" applyBorder="1" applyAlignment="1">
      <alignment horizontal="center" vertical="center"/>
    </xf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7" xfId="0" applyNumberFormat="1" applyBorder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164" fontId="0" fillId="0" borderId="0" xfId="0" applyNumberFormat="1"/>
    <xf numFmtId="0" fontId="3" fillId="3" borderId="0" xfId="0" applyFont="1" applyFill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165" fontId="5" fillId="2" borderId="5" xfId="0" applyNumberFormat="1" applyFont="1" applyFill="1" applyBorder="1" applyAlignment="1">
      <alignment horizontal="center" vertical="center"/>
    </xf>
    <xf numFmtId="165" fontId="5" fillId="2" borderId="4" xfId="0" applyNumberFormat="1" applyFont="1" applyFill="1" applyBorder="1" applyAlignment="1">
      <alignment horizontal="center" vertical="center"/>
    </xf>
    <xf numFmtId="165" fontId="5" fillId="2" borderId="6" xfId="0" applyNumberFormat="1" applyFont="1" applyFill="1" applyBorder="1" applyAlignment="1">
      <alignment horizontal="center" vertical="center"/>
    </xf>
    <xf numFmtId="165" fontId="5" fillId="2" borderId="3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</cellXfs>
  <cellStyles count="1">
    <cellStyle name="Normal" xfId="0" builtinId="0"/>
  </cellStyles>
  <dxfs count="44"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19" formatCode="m/d/yyyy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64" formatCode="&quot;$&quot;#,##0.0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border outline="0">
        <left style="thin">
          <color indexed="64"/>
        </left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fill>
        <patternFill patternType="solid">
          <fgColor indexed="64"/>
          <bgColor rgb="FFCEADAE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EADAE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FF00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0"/>
      </font>
      <fill>
        <patternFill>
          <bgColor rgb="FF54363B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0"/>
      </font>
      <fill>
        <patternFill>
          <bgColor rgb="FF54363B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0"/>
      </font>
      <fill>
        <patternFill>
          <bgColor rgb="FF9A7B78"/>
        </patternFill>
      </fill>
    </dxf>
    <dxf>
      <font>
        <color theme="1"/>
      </font>
      <fill>
        <patternFill>
          <bgColor rgb="FFDDC8CF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0"/>
      </font>
      <fill>
        <patternFill>
          <bgColor rgb="FF9A7B78"/>
        </patternFill>
      </fill>
    </dxf>
    <dxf>
      <font>
        <color theme="1"/>
      </font>
      <fill>
        <patternFill>
          <bgColor rgb="FFDDC8CF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1"/>
      </font>
      <fill>
        <patternFill>
          <bgColor rgb="FFDDC8CF"/>
        </patternFill>
      </fill>
    </dxf>
    <dxf>
      <fill>
        <patternFill>
          <bgColor rgb="FFE9DBE0"/>
        </patternFill>
      </fill>
    </dxf>
    <dxf>
      <font>
        <color theme="0"/>
      </font>
      <fill>
        <patternFill>
          <bgColor rgb="FF9A7B78"/>
        </patternFill>
      </fill>
    </dxf>
    <dxf>
      <font>
        <color theme="0"/>
      </font>
      <fill>
        <patternFill>
          <bgColor rgb="FF54363B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0"/>
      </font>
      <fill>
        <patternFill>
          <bgColor rgb="FF3A1E22"/>
        </patternFill>
      </fill>
    </dxf>
    <dxf>
      <font>
        <color theme="0"/>
      </font>
      <fill>
        <patternFill>
          <bgColor rgb="FF54363B"/>
        </patternFill>
      </fill>
    </dxf>
    <dxf>
      <font>
        <color theme="0"/>
      </font>
      <fill>
        <patternFill>
          <bgColor rgb="FF9A7B78"/>
        </patternFill>
      </fill>
    </dxf>
    <dxf>
      <font>
        <color auto="1"/>
      </font>
      <fill>
        <patternFill>
          <bgColor rgb="FFCEADAE"/>
        </patternFill>
      </fill>
    </dxf>
    <dxf>
      <font>
        <color theme="1"/>
      </font>
      <fill>
        <patternFill>
          <bgColor rgb="FFDDC8CF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9A7B78"/>
        </patternFill>
      </fill>
    </dxf>
    <dxf>
      <font>
        <color auto="1"/>
      </font>
      <fill>
        <patternFill>
          <bgColor rgb="FFCEADAE"/>
        </patternFill>
      </fill>
    </dxf>
    <dxf>
      <font>
        <color theme="1"/>
      </font>
      <fill>
        <patternFill>
          <bgColor rgb="FFDDC8CF"/>
        </patternFill>
      </fill>
    </dxf>
    <dxf>
      <font>
        <color theme="1"/>
      </font>
      <fill>
        <patternFill>
          <bgColor rgb="FFEADEE2"/>
        </patternFill>
      </fill>
    </dxf>
  </dxfs>
  <tableStyles count="0" defaultTableStyle="TableStyleMedium2" defaultPivotStyle="PivotStyleLight16"/>
  <colors>
    <mruColors>
      <color rgb="FF54363B"/>
      <color rgb="FFD2C8B2"/>
      <color rgb="FFCEADAE"/>
      <color rgb="FF3A1E22"/>
      <color rgb="FF9A7B78"/>
      <color rgb="FFE7D9DE"/>
      <color rgb="FFDDC8CF"/>
      <color rgb="FFE9DBE0"/>
      <color rgb="FFE3E4D8"/>
      <color rgb="FFEAD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Application Tracker.xlsm]Pivot Table!PivotTable5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A7B78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A7B78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D2C8B2"/>
          </a:solidFill>
          <a:ln>
            <a:noFill/>
          </a:ln>
          <a:effectLst/>
        </c:spPr>
      </c:pivotFmt>
      <c:pivotFmt>
        <c:idx val="6"/>
        <c:spPr>
          <a:solidFill>
            <a:srgbClr val="C00000"/>
          </a:solidFill>
          <a:ln>
            <a:noFill/>
          </a:ln>
          <a:effectLst/>
        </c:spPr>
      </c:pivotFmt>
      <c:pivotFmt>
        <c:idx val="7"/>
        <c:spPr>
          <a:solidFill>
            <a:srgbClr val="E7D9DE"/>
          </a:solidFill>
          <a:ln>
            <a:noFill/>
          </a:ln>
          <a:effectLst/>
        </c:spPr>
      </c:pivotFmt>
      <c:pivotFmt>
        <c:idx val="8"/>
        <c:spPr>
          <a:solidFill>
            <a:srgbClr val="9A7B78"/>
          </a:solidFill>
          <a:ln>
            <a:noFill/>
          </a:ln>
          <a:effectLst/>
        </c:spPr>
      </c:pivotFmt>
      <c:pivotFmt>
        <c:idx val="9"/>
        <c:spPr>
          <a:solidFill>
            <a:srgbClr val="3A1E22"/>
          </a:solidFill>
          <a:ln>
            <a:noFill/>
          </a:ln>
          <a:effectLst/>
        </c:spPr>
      </c:pivotFmt>
      <c:pivotFmt>
        <c:idx val="10"/>
        <c:spPr>
          <a:solidFill>
            <a:srgbClr val="CEADAE"/>
          </a:solidFill>
          <a:ln>
            <a:noFill/>
          </a:ln>
          <a:effectLst/>
        </c:spPr>
      </c:pivotFmt>
      <c:pivotFmt>
        <c:idx val="11"/>
        <c:spPr>
          <a:solidFill>
            <a:srgbClr val="54363B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2C8B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FF-47BC-8CA6-E8FFAFC0EF9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235-4184-93C3-D552B566BE3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2F7-472D-8C0D-3C52EE59D01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2F7-472D-8C0D-3C52EE59D0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Table'!$A$4:$A$5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'Pivot Table'!$B$4:$B$5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FF-47BC-8CA6-E8FFAFC0EF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08106975"/>
        <c:axId val="608108415"/>
      </c:barChart>
      <c:catAx>
        <c:axId val="6081069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108415"/>
        <c:crosses val="autoZero"/>
        <c:auto val="1"/>
        <c:lblAlgn val="ctr"/>
        <c:lblOffset val="100"/>
        <c:noMultiLvlLbl val="0"/>
      </c:catAx>
      <c:valAx>
        <c:axId val="6081084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08106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Application Tracker.xlsm]Pivot Table!PivotTable9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54363B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rgbClr val="E7D9DE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A7B78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CEADAE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Table'!$B$12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4363B"/>
            </a:solidFill>
          </c:spPr>
          <c:dPt>
            <c:idx val="0"/>
            <c:bubble3D val="0"/>
            <c:spPr>
              <a:solidFill>
                <a:srgbClr val="E7D9D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62-46C8-B36E-232D8E0E8D04}"/>
              </c:ext>
            </c:extLst>
          </c:dPt>
          <c:dPt>
            <c:idx val="1"/>
            <c:bubble3D val="0"/>
            <c:spPr>
              <a:solidFill>
                <a:srgbClr val="54363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D0-4D5A-BB8A-3B6DA987D84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'Pivot Table'!$A$13:$A$14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'Pivot Table'!$B$13:$B$14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2-46C8-B36E-232D8E0E8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05966A3-2289-4DD2-B585-270B57430340}"/>
            </a:ext>
          </a:extLst>
        </xdr:cNvPr>
        <xdr:cNvSpPr/>
      </xdr:nvSpPr>
      <xdr:spPr>
        <a:xfrm>
          <a:off x="0" y="0"/>
          <a:ext cx="17503140" cy="358140"/>
        </a:xfrm>
        <a:prstGeom prst="rect">
          <a:avLst/>
        </a:prstGeom>
        <a:solidFill>
          <a:srgbClr val="54363B"/>
        </a:solidFill>
        <a:ln>
          <a:solidFill>
            <a:srgbClr val="66422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/>
            <a:t>JO</a:t>
          </a:r>
          <a:r>
            <a:rPr lang="en-US" sz="1400" b="1" i="1" baseline="0"/>
            <a:t>B APPLICATION  TRACKER BY AUBREY</a:t>
          </a:r>
          <a:endParaRPr lang="en-US" sz="1400" b="1" i="1"/>
        </a:p>
      </xdr:txBody>
    </xdr:sp>
    <xdr:clientData/>
  </xdr:twoCellAnchor>
  <xdr:twoCellAnchor>
    <xdr:from>
      <xdr:col>1</xdr:col>
      <xdr:colOff>868680</xdr:colOff>
      <xdr:row>1</xdr:row>
      <xdr:rowOff>60960</xdr:rowOff>
    </xdr:from>
    <xdr:to>
      <xdr:col>3</xdr:col>
      <xdr:colOff>1600200</xdr:colOff>
      <xdr:row>12</xdr:row>
      <xdr:rowOff>91440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C720EDE-2189-406F-B8B6-991882D012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441960</xdr:colOff>
      <xdr:row>1</xdr:row>
      <xdr:rowOff>68580</xdr:rowOff>
    </xdr:from>
    <xdr:to>
      <xdr:col>10</xdr:col>
      <xdr:colOff>777240</xdr:colOff>
      <xdr:row>12</xdr:row>
      <xdr:rowOff>68580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8FEBA24-4254-4C9A-B5A5-49F213E5FC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brey Dano" refreshedDate="45574.87795347222" createdVersion="8" refreshedVersion="8" minRefreshableVersion="3" recordCount="39" xr:uid="{5B59CB3F-9EFE-41BF-B26C-B95680AF8BE3}">
  <cacheSource type="worksheet">
    <worksheetSource ref="A16:M55" sheet="Job Application Tracker"/>
  </cacheSource>
  <cacheFields count="13">
    <cacheField name="NO." numFmtId="0">
      <sharedItems containsSemiMixedTypes="0" containsString="0" containsNumber="1" containsInteger="1" minValue="1" maxValue="39"/>
    </cacheField>
    <cacheField name="STATUS" numFmtId="0">
      <sharedItems containsNonDate="0" containsBlank="1" count="7">
        <m/>
        <s v="Rejected" u="1"/>
        <s v="Interviewing" u="1"/>
        <s v="Job Order" u="1"/>
        <s v="Applied" u="1"/>
        <s v="Negotiating" u="1"/>
        <s v="Need to Apply" u="1"/>
      </sharedItems>
    </cacheField>
    <cacheField name="COMPANY " numFmtId="0">
      <sharedItems containsNonDate="0" containsString="0" containsBlank="1"/>
    </cacheField>
    <cacheField name="JOB TITLE" numFmtId="0">
      <sharedItems containsNonDate="0" containsString="0" containsBlank="1"/>
    </cacheField>
    <cacheField name="INTERESTED IN ROLE" numFmtId="0">
      <sharedItems containsNonDate="0" containsString="0" containsBlank="1"/>
    </cacheField>
    <cacheField name="RESUME SUMITTED" numFmtId="0">
      <sharedItems containsNonDate="0" containsString="0" containsBlank="1"/>
    </cacheField>
    <cacheField name="JOB SUBMITTED" numFmtId="0">
      <sharedItems containsNonDate="0" containsString="0" containsBlank="1"/>
    </cacheField>
    <cacheField name="ONSITE/REMOTE" numFmtId="0">
      <sharedItems containsNonDate="0" containsBlank="1" count="4">
        <m/>
        <s v="Remote" u="1"/>
        <s v="On-Site" u="1"/>
        <s v="Hybrid" u="1"/>
      </sharedItems>
    </cacheField>
    <cacheField name="SALARY" numFmtId="164">
      <sharedItems containsNonDate="0" containsString="0" containsBlank="1"/>
    </cacheField>
    <cacheField name="LOCATION" numFmtId="0">
      <sharedItems containsNonDate="0" containsString="0" containsBlank="1"/>
    </cacheField>
    <cacheField name="DATE APPLIED" numFmtId="14">
      <sharedItems containsNonDate="0" containsString="0" containsBlank="1"/>
    </cacheField>
    <cacheField name="DEADLINE" numFmtId="0">
      <sharedItems containsNonDate="0" containsString="0" containsBlank="1"/>
    </cacheField>
    <cacheField name="JOB POST LIN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n v="1"/>
    <x v="0"/>
    <m/>
    <m/>
    <m/>
    <m/>
    <m/>
    <x v="0"/>
    <m/>
    <m/>
    <m/>
    <m/>
    <m/>
  </r>
  <r>
    <n v="2"/>
    <x v="0"/>
    <m/>
    <m/>
    <m/>
    <m/>
    <m/>
    <x v="0"/>
    <m/>
    <m/>
    <m/>
    <m/>
    <m/>
  </r>
  <r>
    <n v="3"/>
    <x v="0"/>
    <m/>
    <m/>
    <m/>
    <m/>
    <m/>
    <x v="0"/>
    <m/>
    <m/>
    <m/>
    <m/>
    <m/>
  </r>
  <r>
    <n v="4"/>
    <x v="0"/>
    <m/>
    <m/>
    <m/>
    <m/>
    <m/>
    <x v="0"/>
    <m/>
    <m/>
    <m/>
    <m/>
    <m/>
  </r>
  <r>
    <n v="5"/>
    <x v="0"/>
    <m/>
    <m/>
    <m/>
    <m/>
    <m/>
    <x v="0"/>
    <m/>
    <m/>
    <m/>
    <m/>
    <m/>
  </r>
  <r>
    <n v="6"/>
    <x v="0"/>
    <m/>
    <m/>
    <m/>
    <m/>
    <m/>
    <x v="0"/>
    <m/>
    <m/>
    <m/>
    <m/>
    <m/>
  </r>
  <r>
    <n v="7"/>
    <x v="0"/>
    <m/>
    <m/>
    <m/>
    <m/>
    <m/>
    <x v="0"/>
    <m/>
    <m/>
    <m/>
    <m/>
    <m/>
  </r>
  <r>
    <n v="8"/>
    <x v="0"/>
    <m/>
    <m/>
    <m/>
    <m/>
    <m/>
    <x v="0"/>
    <m/>
    <m/>
    <m/>
    <m/>
    <m/>
  </r>
  <r>
    <n v="9"/>
    <x v="0"/>
    <m/>
    <m/>
    <m/>
    <m/>
    <m/>
    <x v="0"/>
    <m/>
    <m/>
    <m/>
    <m/>
    <m/>
  </r>
  <r>
    <n v="10"/>
    <x v="0"/>
    <m/>
    <m/>
    <m/>
    <m/>
    <m/>
    <x v="0"/>
    <m/>
    <m/>
    <m/>
    <m/>
    <m/>
  </r>
  <r>
    <n v="11"/>
    <x v="0"/>
    <m/>
    <m/>
    <m/>
    <m/>
    <m/>
    <x v="0"/>
    <m/>
    <m/>
    <m/>
    <m/>
    <m/>
  </r>
  <r>
    <n v="12"/>
    <x v="0"/>
    <m/>
    <m/>
    <m/>
    <m/>
    <m/>
    <x v="0"/>
    <m/>
    <m/>
    <m/>
    <m/>
    <m/>
  </r>
  <r>
    <n v="13"/>
    <x v="0"/>
    <m/>
    <m/>
    <m/>
    <m/>
    <m/>
    <x v="0"/>
    <m/>
    <m/>
    <m/>
    <m/>
    <m/>
  </r>
  <r>
    <n v="14"/>
    <x v="0"/>
    <m/>
    <m/>
    <m/>
    <m/>
    <m/>
    <x v="0"/>
    <m/>
    <m/>
    <m/>
    <m/>
    <m/>
  </r>
  <r>
    <n v="15"/>
    <x v="0"/>
    <m/>
    <m/>
    <m/>
    <m/>
    <m/>
    <x v="0"/>
    <m/>
    <m/>
    <m/>
    <m/>
    <m/>
  </r>
  <r>
    <n v="16"/>
    <x v="0"/>
    <m/>
    <m/>
    <m/>
    <m/>
    <m/>
    <x v="0"/>
    <m/>
    <m/>
    <m/>
    <m/>
    <m/>
  </r>
  <r>
    <n v="17"/>
    <x v="0"/>
    <m/>
    <m/>
    <m/>
    <m/>
    <m/>
    <x v="0"/>
    <m/>
    <m/>
    <m/>
    <m/>
    <m/>
  </r>
  <r>
    <n v="18"/>
    <x v="0"/>
    <m/>
    <m/>
    <m/>
    <m/>
    <m/>
    <x v="0"/>
    <m/>
    <m/>
    <m/>
    <m/>
    <m/>
  </r>
  <r>
    <n v="19"/>
    <x v="0"/>
    <m/>
    <m/>
    <m/>
    <m/>
    <m/>
    <x v="0"/>
    <m/>
    <m/>
    <m/>
    <m/>
    <m/>
  </r>
  <r>
    <n v="20"/>
    <x v="0"/>
    <m/>
    <m/>
    <m/>
    <m/>
    <m/>
    <x v="0"/>
    <m/>
    <m/>
    <m/>
    <m/>
    <m/>
  </r>
  <r>
    <n v="21"/>
    <x v="0"/>
    <m/>
    <m/>
    <m/>
    <m/>
    <m/>
    <x v="0"/>
    <m/>
    <m/>
    <m/>
    <m/>
    <m/>
  </r>
  <r>
    <n v="22"/>
    <x v="0"/>
    <m/>
    <m/>
    <m/>
    <m/>
    <m/>
    <x v="0"/>
    <m/>
    <m/>
    <m/>
    <m/>
    <m/>
  </r>
  <r>
    <n v="23"/>
    <x v="0"/>
    <m/>
    <m/>
    <m/>
    <m/>
    <m/>
    <x v="0"/>
    <m/>
    <m/>
    <m/>
    <m/>
    <m/>
  </r>
  <r>
    <n v="24"/>
    <x v="0"/>
    <m/>
    <m/>
    <m/>
    <m/>
    <m/>
    <x v="0"/>
    <m/>
    <m/>
    <m/>
    <m/>
    <m/>
  </r>
  <r>
    <n v="25"/>
    <x v="0"/>
    <m/>
    <m/>
    <m/>
    <m/>
    <m/>
    <x v="0"/>
    <m/>
    <m/>
    <m/>
    <m/>
    <m/>
  </r>
  <r>
    <n v="26"/>
    <x v="0"/>
    <m/>
    <m/>
    <m/>
    <m/>
    <m/>
    <x v="0"/>
    <m/>
    <m/>
    <m/>
    <m/>
    <m/>
  </r>
  <r>
    <n v="27"/>
    <x v="0"/>
    <m/>
    <m/>
    <m/>
    <m/>
    <m/>
    <x v="0"/>
    <m/>
    <m/>
    <m/>
    <m/>
    <m/>
  </r>
  <r>
    <n v="28"/>
    <x v="0"/>
    <m/>
    <m/>
    <m/>
    <m/>
    <m/>
    <x v="0"/>
    <m/>
    <m/>
    <m/>
    <m/>
    <m/>
  </r>
  <r>
    <n v="29"/>
    <x v="0"/>
    <m/>
    <m/>
    <m/>
    <m/>
    <m/>
    <x v="0"/>
    <m/>
    <m/>
    <m/>
    <m/>
    <m/>
  </r>
  <r>
    <n v="30"/>
    <x v="0"/>
    <m/>
    <m/>
    <m/>
    <m/>
    <m/>
    <x v="0"/>
    <m/>
    <m/>
    <m/>
    <m/>
    <m/>
  </r>
  <r>
    <n v="31"/>
    <x v="0"/>
    <m/>
    <m/>
    <m/>
    <m/>
    <m/>
    <x v="0"/>
    <m/>
    <m/>
    <m/>
    <m/>
    <m/>
  </r>
  <r>
    <n v="32"/>
    <x v="0"/>
    <m/>
    <m/>
    <m/>
    <m/>
    <m/>
    <x v="0"/>
    <m/>
    <m/>
    <m/>
    <m/>
    <m/>
  </r>
  <r>
    <n v="33"/>
    <x v="0"/>
    <m/>
    <m/>
    <m/>
    <m/>
    <m/>
    <x v="0"/>
    <m/>
    <m/>
    <m/>
    <m/>
    <m/>
  </r>
  <r>
    <n v="34"/>
    <x v="0"/>
    <m/>
    <m/>
    <m/>
    <m/>
    <m/>
    <x v="0"/>
    <m/>
    <m/>
    <m/>
    <m/>
    <m/>
  </r>
  <r>
    <n v="35"/>
    <x v="0"/>
    <m/>
    <m/>
    <m/>
    <m/>
    <m/>
    <x v="0"/>
    <m/>
    <m/>
    <m/>
    <m/>
    <m/>
  </r>
  <r>
    <n v="36"/>
    <x v="0"/>
    <m/>
    <m/>
    <m/>
    <m/>
    <m/>
    <x v="0"/>
    <m/>
    <m/>
    <m/>
    <m/>
    <m/>
  </r>
  <r>
    <n v="37"/>
    <x v="0"/>
    <m/>
    <m/>
    <m/>
    <m/>
    <m/>
    <x v="0"/>
    <m/>
    <m/>
    <m/>
    <m/>
    <m/>
  </r>
  <r>
    <n v="38"/>
    <x v="0"/>
    <m/>
    <m/>
    <m/>
    <m/>
    <m/>
    <x v="0"/>
    <m/>
    <m/>
    <m/>
    <m/>
    <m/>
  </r>
  <r>
    <n v="39"/>
    <x v="0"/>
    <m/>
    <m/>
    <m/>
    <m/>
    <m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D2003A-C019-4AD0-936F-EEC333E8F1EC}" name="PivotTable9" cacheId="33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 rowHeaderCaption="Onsite/Remote">
  <location ref="A12:B14" firstHeaderRow="1" firstDataRow="1" firstDataCol="1"/>
  <pivotFields count="13"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m="1" x="2"/>
        <item m="1" x="1"/>
        <item m="1" x="3"/>
        <item t="default"/>
      </items>
    </pivotField>
    <pivotField showAll="0"/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Count of NO." fld="0" subtotal="count" baseField="1" baseItem="1"/>
  </dataFields>
  <chartFormats count="8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FE3AE-BD1B-47CF-9DE1-3B63F8BE0011}" name="PivotTable5" cacheId="330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Status">
  <location ref="A3:B5" firstHeaderRow="1" firstDataRow="1" firstDataCol="1"/>
  <pivotFields count="13">
    <pivotField dataField="1" showAll="0"/>
    <pivotField axis="axisRow" showAll="0">
      <items count="8">
        <item m="1" x="2"/>
        <item x="0"/>
        <item m="1" x="5"/>
        <item m="1" x="4"/>
        <item m="1" x="3"/>
        <item m="1" x="6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Count of NO." fld="0" subtotal="count" baseField="1" baseItem="1"/>
  </dataFields>
  <chartFormats count="8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E284A-2679-47E0-B99A-E0B70DBA4FD9}" name="Table1" displayName="Table1" ref="A16:D55" totalsRowShown="0" headerRowDxfId="16" tableBorderDxfId="15">
  <autoFilter ref="A16:D55" xr:uid="{326E284A-2679-47E0-B99A-E0B70DBA4FD9}"/>
  <tableColumns count="4">
    <tableColumn id="1" xr3:uid="{D27E22B9-6B89-4A01-B404-95A7C8AFE8AA}" name="NO." dataDxfId="14"/>
    <tableColumn id="2" xr3:uid="{C6145276-B8BD-4570-AE9D-9D0E426B0E38}" name="STATUS" dataDxfId="13"/>
    <tableColumn id="3" xr3:uid="{99AB803C-ACC6-4FCE-A277-395B16A4975A}" name="COMPANY " dataDxfId="12"/>
    <tableColumn id="6" xr3:uid="{7BA86AF7-AF58-433D-9659-65070FBBC2EC}" name="JOB TITLE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11DA73-7D94-4334-BDBF-2C8A80C65452}" name="Table2" displayName="Table2" ref="E16:M55" totalsRowShown="0" headerRowDxfId="10" tableBorderDxfId="9">
  <autoFilter ref="E16:M55" xr:uid="{4A11DA73-7D94-4334-BDBF-2C8A80C65452}"/>
  <tableColumns count="9">
    <tableColumn id="1" xr3:uid="{283B2AB4-12C1-47B4-8A10-9DF1E77C9482}" name="INTERESTED IN ROLE" dataDxfId="8"/>
    <tableColumn id="2" xr3:uid="{20A6B96F-1152-4123-A858-524D700A010C}" name="RESUME SUMITTED" dataDxfId="7"/>
    <tableColumn id="3" xr3:uid="{C61C3C59-D7CA-41DA-A041-BC067CC6DD16}" name="JOB SUBMITTED" dataDxfId="6"/>
    <tableColumn id="4" xr3:uid="{E0AF8B8D-8A8F-47A0-BF80-50A977810DDA}" name="ONSITE/REMOTE" dataDxfId="5"/>
    <tableColumn id="5" xr3:uid="{144F107C-795B-4D16-8B4A-7A4759BA3FDE}" name="SALARY" dataDxfId="4"/>
    <tableColumn id="6" xr3:uid="{9DB6005F-4EF9-42E4-82E2-EAFF3949C891}" name="LOCATION" dataDxfId="3"/>
    <tableColumn id="7" xr3:uid="{27429A0C-84F7-4A31-9BF4-D957DBA87D1B}" name="DATE APPLIED" dataDxfId="2"/>
    <tableColumn id="8" xr3:uid="{B3F0A581-23FB-48E4-A8C9-904A18F60723}" name="DEADLINE" dataDxfId="1"/>
    <tableColumn id="9" xr3:uid="{B9AF4835-CA50-4F54-BA6A-B85133523728}" name="JOB POST LINK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FFF2B-6316-4347-A79A-31BFBBC7DB88}">
  <sheetPr codeName="Sheet1"/>
  <dimension ref="A2:M526"/>
  <sheetViews>
    <sheetView tabSelected="1" zoomScaleNormal="100" workbookViewId="0">
      <selection activeCell="C24" sqref="C24"/>
    </sheetView>
  </sheetViews>
  <sheetFormatPr defaultRowHeight="18"/>
  <cols>
    <col min="1" max="1" width="6.7109375" style="3" customWidth="1"/>
    <col min="2" max="2" width="30.7109375" customWidth="1"/>
    <col min="3" max="3" width="24.140625" customWidth="1"/>
    <col min="4" max="4" width="29.7109375" customWidth="1"/>
    <col min="5" max="5" width="22.5703125" customWidth="1"/>
    <col min="6" max="6" width="16.85546875" customWidth="1"/>
    <col min="7" max="7" width="14.5703125" customWidth="1"/>
    <col min="8" max="8" width="16.28515625" customWidth="1"/>
    <col min="9" max="9" width="13.85546875" customWidth="1"/>
    <col min="10" max="10" width="15.28515625" customWidth="1"/>
    <col min="11" max="11" width="14.7109375" customWidth="1"/>
    <col min="12" max="12" width="11.85546875" customWidth="1"/>
    <col min="13" max="13" width="21.28515625" customWidth="1"/>
  </cols>
  <sheetData>
    <row r="2" spans="1:13" ht="15" customHeight="1">
      <c r="A2" s="6"/>
      <c r="E2" s="24"/>
      <c r="F2" s="24"/>
      <c r="G2" s="24"/>
      <c r="M2" s="4"/>
    </row>
    <row r="3" spans="1:13" ht="15" customHeight="1" thickBot="1">
      <c r="A3" s="6"/>
      <c r="E3" s="25" t="s">
        <v>0</v>
      </c>
      <c r="F3" s="26"/>
      <c r="G3" s="26"/>
      <c r="M3" s="4"/>
    </row>
    <row r="4" spans="1:13" ht="14.45" customHeight="1">
      <c r="A4" s="6"/>
      <c r="E4" s="27">
        <f>COUNTIF(F17:F55,"YES")</f>
        <v>0</v>
      </c>
      <c r="F4" s="28"/>
      <c r="G4" s="28"/>
      <c r="M4" s="4"/>
    </row>
    <row r="5" spans="1:13" ht="15" customHeight="1" thickBot="1">
      <c r="A5" s="6"/>
      <c r="E5" s="29"/>
      <c r="F5" s="30"/>
      <c r="G5" s="30"/>
      <c r="M5" s="4"/>
    </row>
    <row r="6" spans="1:13" ht="15" customHeight="1" thickBot="1">
      <c r="A6" s="6"/>
      <c r="E6" s="31" t="s">
        <v>1</v>
      </c>
      <c r="F6" s="32"/>
      <c r="G6" s="32"/>
      <c r="M6" s="4"/>
    </row>
    <row r="7" spans="1:13" ht="14.45" customHeight="1">
      <c r="A7" s="6"/>
      <c r="E7" s="33">
        <f ca="1">TODAY()</f>
        <v>45574</v>
      </c>
      <c r="F7" s="34"/>
      <c r="G7" s="34"/>
      <c r="M7" s="4"/>
    </row>
    <row r="8" spans="1:13" ht="15" customHeight="1" thickBot="1">
      <c r="A8" s="6"/>
      <c r="E8" s="35"/>
      <c r="F8" s="36"/>
      <c r="G8" s="36"/>
      <c r="M8" s="4"/>
    </row>
    <row r="9" spans="1:13" ht="15" customHeight="1" thickBot="1">
      <c r="A9" s="6"/>
      <c r="E9" s="31" t="s">
        <v>2</v>
      </c>
      <c r="F9" s="32"/>
      <c r="G9" s="32"/>
      <c r="M9" s="4"/>
    </row>
    <row r="10" spans="1:13" ht="14.45" customHeight="1">
      <c r="A10" s="6"/>
      <c r="E10" s="37">
        <f>COUNTA(B17:B55)</f>
        <v>0</v>
      </c>
      <c r="F10" s="38"/>
      <c r="G10" s="38"/>
      <c r="M10" s="4"/>
    </row>
    <row r="11" spans="1:13" ht="15" customHeight="1" thickBot="1">
      <c r="A11" s="6"/>
      <c r="E11" s="39"/>
      <c r="F11" s="40"/>
      <c r="G11" s="40"/>
      <c r="M11" s="4"/>
    </row>
    <row r="12" spans="1:13" ht="15" customHeight="1">
      <c r="A12" s="6"/>
      <c r="E12" s="41"/>
      <c r="F12" s="42"/>
      <c r="G12" s="42"/>
      <c r="M12" s="4"/>
    </row>
    <row r="13" spans="1:13" ht="14.45" customHeight="1">
      <c r="A13" s="6"/>
      <c r="E13" s="24"/>
      <c r="F13" s="24"/>
      <c r="G13" s="24"/>
      <c r="M13" s="4"/>
    </row>
    <row r="14" spans="1:13" ht="14.45" customHeight="1">
      <c r="A14" s="22" t="s">
        <v>3</v>
      </c>
      <c r="B14" s="22"/>
      <c r="C14" s="22"/>
      <c r="D14" s="22"/>
      <c r="E14" s="22" t="s">
        <v>4</v>
      </c>
      <c r="F14" s="22"/>
      <c r="G14" s="22"/>
      <c r="H14" s="22"/>
      <c r="I14" s="22"/>
      <c r="J14" s="22"/>
      <c r="K14" s="22"/>
      <c r="L14" s="22"/>
      <c r="M14" s="22"/>
    </row>
    <row r="15" spans="1:13" ht="14.45" customHeight="1">
      <c r="A15" s="23"/>
      <c r="B15" s="23"/>
      <c r="C15" s="23"/>
      <c r="D15" s="23"/>
      <c r="E15" s="22"/>
      <c r="F15" s="22"/>
      <c r="G15" s="22"/>
      <c r="H15" s="22"/>
      <c r="I15" s="22"/>
      <c r="J15" s="22"/>
      <c r="K15" s="22"/>
      <c r="L15" s="22"/>
      <c r="M15" s="22"/>
    </row>
    <row r="16" spans="1:13" ht="31.9" customHeight="1">
      <c r="A16" s="15" t="s">
        <v>5</v>
      </c>
      <c r="B16" s="16" t="s">
        <v>6</v>
      </c>
      <c r="C16" s="11" t="s">
        <v>7</v>
      </c>
      <c r="D16" s="11" t="s">
        <v>8</v>
      </c>
      <c r="E16" s="18" t="s">
        <v>9</v>
      </c>
      <c r="F16" s="5" t="s">
        <v>10</v>
      </c>
      <c r="G16" s="5" t="s">
        <v>11</v>
      </c>
      <c r="H16" s="5" t="s">
        <v>12</v>
      </c>
      <c r="I16" s="5" t="s">
        <v>13</v>
      </c>
      <c r="J16" s="5" t="s">
        <v>14</v>
      </c>
      <c r="K16" s="5" t="s">
        <v>15</v>
      </c>
      <c r="L16" s="5" t="s">
        <v>16</v>
      </c>
      <c r="M16" s="5" t="s">
        <v>17</v>
      </c>
    </row>
    <row r="17" spans="1:13" ht="14.45" customHeight="1">
      <c r="A17" s="4">
        <v>1</v>
      </c>
      <c r="B17" s="9"/>
      <c r="C17" s="8"/>
      <c r="D17" s="1"/>
      <c r="E17" s="20"/>
      <c r="F17" s="2"/>
      <c r="G17" s="2"/>
      <c r="H17" s="19"/>
      <c r="I17" s="17"/>
      <c r="J17" s="2"/>
      <c r="K17" s="14"/>
      <c r="L17" s="6"/>
      <c r="M17" s="1"/>
    </row>
    <row r="18" spans="1:13" ht="14.45" customHeight="1">
      <c r="A18" s="4">
        <v>2</v>
      </c>
      <c r="B18" s="2"/>
      <c r="C18" s="6"/>
      <c r="D18" s="1"/>
      <c r="E18" s="20"/>
      <c r="F18" s="6"/>
      <c r="G18" s="2"/>
      <c r="H18" s="19"/>
      <c r="I18" s="17"/>
      <c r="J18" s="2"/>
      <c r="K18" s="14"/>
      <c r="L18" s="6"/>
      <c r="M18" s="1"/>
    </row>
    <row r="19" spans="1:13" ht="14.45" customHeight="1">
      <c r="A19" s="4">
        <v>3</v>
      </c>
      <c r="B19" s="2"/>
      <c r="C19" s="6"/>
      <c r="D19" s="6"/>
      <c r="E19" s="20"/>
      <c r="F19" s="2"/>
      <c r="G19" s="2"/>
      <c r="H19" s="19"/>
      <c r="I19" s="17"/>
      <c r="J19" s="2"/>
      <c r="K19" s="14"/>
      <c r="L19" s="6"/>
      <c r="M19" s="1"/>
    </row>
    <row r="20" spans="1:13" ht="14.45" customHeight="1">
      <c r="A20" s="4">
        <v>4</v>
      </c>
      <c r="B20" s="2"/>
      <c r="C20" s="6"/>
      <c r="D20" s="6"/>
      <c r="E20" s="20"/>
      <c r="F20" s="2"/>
      <c r="G20" s="2"/>
      <c r="H20" s="19"/>
      <c r="I20" s="17"/>
      <c r="J20" s="2"/>
      <c r="K20" s="14"/>
      <c r="L20" s="6"/>
      <c r="M20" s="1"/>
    </row>
    <row r="21" spans="1:13" ht="14.45" customHeight="1">
      <c r="A21" s="4">
        <v>5</v>
      </c>
      <c r="B21" s="2"/>
      <c r="C21" s="6"/>
      <c r="D21" s="6"/>
      <c r="E21" s="20"/>
      <c r="F21" s="2"/>
      <c r="G21" s="2"/>
      <c r="H21" s="19"/>
      <c r="I21" s="17"/>
      <c r="J21" s="2"/>
      <c r="K21" s="14"/>
      <c r="L21" s="6"/>
      <c r="M21" s="1"/>
    </row>
    <row r="22" spans="1:13" ht="14.45" customHeight="1">
      <c r="A22" s="4">
        <v>6</v>
      </c>
      <c r="B22" s="2"/>
      <c r="C22" s="6"/>
      <c r="D22" s="6"/>
      <c r="E22" s="20"/>
      <c r="F22" s="2"/>
      <c r="G22" s="2"/>
      <c r="H22" s="19"/>
      <c r="I22" s="17"/>
      <c r="J22" s="2"/>
      <c r="K22" s="14"/>
      <c r="L22" s="6"/>
      <c r="M22" s="1"/>
    </row>
    <row r="23" spans="1:13" ht="14.45" customHeight="1">
      <c r="A23" s="4">
        <v>7</v>
      </c>
      <c r="B23" s="2"/>
      <c r="C23" s="6"/>
      <c r="D23" s="6"/>
      <c r="E23" s="20"/>
      <c r="F23" s="2"/>
      <c r="G23" s="2"/>
      <c r="H23" s="19"/>
      <c r="I23" s="17"/>
      <c r="J23" s="2"/>
      <c r="K23" s="14"/>
      <c r="L23" s="6"/>
      <c r="M23" s="1"/>
    </row>
    <row r="24" spans="1:13" ht="14.45" customHeight="1">
      <c r="A24" s="4">
        <v>8</v>
      </c>
      <c r="B24" s="2"/>
      <c r="C24" s="6"/>
      <c r="D24" s="6"/>
      <c r="E24" s="20"/>
      <c r="F24" s="2"/>
      <c r="G24" s="2"/>
      <c r="H24" s="19"/>
      <c r="I24" s="17"/>
      <c r="J24" s="2"/>
      <c r="K24" s="14"/>
      <c r="L24" s="6"/>
      <c r="M24" s="1"/>
    </row>
    <row r="25" spans="1:13" ht="14.45" customHeight="1">
      <c r="A25" s="4">
        <v>9</v>
      </c>
      <c r="B25" s="2"/>
      <c r="C25" s="6"/>
      <c r="D25" s="6"/>
      <c r="E25" s="20"/>
      <c r="F25" s="2"/>
      <c r="G25" s="2"/>
      <c r="H25" s="19"/>
      <c r="I25" s="17"/>
      <c r="J25" s="2"/>
      <c r="K25" s="14"/>
      <c r="L25" s="6"/>
      <c r="M25" s="1"/>
    </row>
    <row r="26" spans="1:13" ht="14.45" customHeight="1">
      <c r="A26" s="4">
        <v>10</v>
      </c>
      <c r="B26" s="2"/>
      <c r="C26" s="6"/>
      <c r="D26" s="6"/>
      <c r="E26" s="20"/>
      <c r="F26" s="2"/>
      <c r="G26" s="2"/>
      <c r="H26" s="19"/>
      <c r="I26" s="17"/>
      <c r="J26" s="2"/>
      <c r="K26" s="14"/>
      <c r="L26" s="6"/>
      <c r="M26" s="1"/>
    </row>
    <row r="27" spans="1:13" ht="14.45" customHeight="1">
      <c r="A27" s="4">
        <v>11</v>
      </c>
      <c r="B27" s="2"/>
      <c r="C27" s="6"/>
      <c r="D27" s="6"/>
      <c r="E27" s="20"/>
      <c r="F27" s="2"/>
      <c r="G27" s="2"/>
      <c r="H27" s="19"/>
      <c r="I27" s="17"/>
      <c r="J27" s="2"/>
      <c r="K27" s="14"/>
      <c r="L27" s="6"/>
      <c r="M27" s="1"/>
    </row>
    <row r="28" spans="1:13" ht="14.45" customHeight="1">
      <c r="A28" s="4">
        <v>12</v>
      </c>
      <c r="B28" s="2"/>
      <c r="C28" s="6"/>
      <c r="D28" s="6"/>
      <c r="E28" s="20"/>
      <c r="F28" s="2"/>
      <c r="G28" s="2"/>
      <c r="H28" s="19"/>
      <c r="I28" s="17"/>
      <c r="J28" s="2"/>
      <c r="K28" s="14"/>
      <c r="L28" s="6"/>
      <c r="M28" s="1"/>
    </row>
    <row r="29" spans="1:13" ht="14.45" customHeight="1">
      <c r="A29" s="4">
        <v>13</v>
      </c>
      <c r="B29" s="2"/>
      <c r="C29" s="6"/>
      <c r="D29" s="6"/>
      <c r="E29" s="20"/>
      <c r="F29" s="2"/>
      <c r="G29" s="2"/>
      <c r="H29" s="19"/>
      <c r="I29" s="17"/>
      <c r="J29" s="2"/>
      <c r="K29" s="14"/>
      <c r="L29" s="6"/>
      <c r="M29" s="1"/>
    </row>
    <row r="30" spans="1:13" ht="14.45" customHeight="1">
      <c r="A30" s="4">
        <v>14</v>
      </c>
      <c r="B30" s="2"/>
      <c r="C30" s="6"/>
      <c r="D30" s="6"/>
      <c r="E30" s="20"/>
      <c r="F30" s="2"/>
      <c r="G30" s="2"/>
      <c r="H30" s="19"/>
      <c r="I30" s="17"/>
      <c r="J30" s="2"/>
      <c r="K30" s="14"/>
      <c r="L30" s="6"/>
      <c r="M30" s="1"/>
    </row>
    <row r="31" spans="1:13" ht="14.45" customHeight="1">
      <c r="A31" s="4">
        <v>15</v>
      </c>
      <c r="B31" s="2"/>
      <c r="C31" s="6"/>
      <c r="D31" s="6"/>
      <c r="E31" s="20"/>
      <c r="F31" s="2"/>
      <c r="G31" s="2"/>
      <c r="H31" s="19"/>
      <c r="I31" s="17"/>
      <c r="J31" s="2"/>
      <c r="K31" s="14"/>
      <c r="L31" s="6"/>
      <c r="M31" s="1"/>
    </row>
    <row r="32" spans="1:13" ht="14.45" customHeight="1">
      <c r="A32" s="4">
        <v>16</v>
      </c>
      <c r="B32" s="2"/>
      <c r="C32" s="6"/>
      <c r="D32" s="6"/>
      <c r="E32" s="20"/>
      <c r="F32" s="2"/>
      <c r="G32" s="2"/>
      <c r="H32" s="19"/>
      <c r="I32" s="17"/>
      <c r="J32" s="2"/>
      <c r="K32" s="14"/>
      <c r="L32" s="6"/>
      <c r="M32" s="1"/>
    </row>
    <row r="33" spans="1:13" ht="14.45" customHeight="1">
      <c r="A33" s="4">
        <v>17</v>
      </c>
      <c r="B33" s="2"/>
      <c r="C33" s="6"/>
      <c r="D33" s="6"/>
      <c r="E33" s="20"/>
      <c r="F33" s="2"/>
      <c r="G33" s="2"/>
      <c r="H33" s="19"/>
      <c r="I33" s="17"/>
      <c r="J33" s="2"/>
      <c r="K33" s="14"/>
      <c r="L33" s="6"/>
      <c r="M33" s="1"/>
    </row>
    <row r="34" spans="1:13" ht="14.45" customHeight="1">
      <c r="A34" s="4">
        <v>18</v>
      </c>
      <c r="B34" s="2"/>
      <c r="C34" s="6"/>
      <c r="D34" s="6"/>
      <c r="E34" s="20"/>
      <c r="F34" s="2"/>
      <c r="G34" s="2"/>
      <c r="H34" s="19"/>
      <c r="I34" s="17"/>
      <c r="J34" s="2"/>
      <c r="K34" s="14"/>
      <c r="L34" s="6"/>
      <c r="M34" s="1"/>
    </row>
    <row r="35" spans="1:13" ht="14.45" customHeight="1">
      <c r="A35" s="4">
        <v>19</v>
      </c>
      <c r="B35" s="2"/>
      <c r="C35" s="6"/>
      <c r="D35" s="6"/>
      <c r="E35" s="20"/>
      <c r="F35" s="2"/>
      <c r="G35" s="2"/>
      <c r="H35" s="19"/>
      <c r="I35" s="17"/>
      <c r="J35" s="2"/>
      <c r="K35" s="14"/>
      <c r="L35" s="6"/>
      <c r="M35" s="1"/>
    </row>
    <row r="36" spans="1:13" ht="14.45" customHeight="1">
      <c r="A36" s="4">
        <v>20</v>
      </c>
      <c r="B36" s="2"/>
      <c r="C36" s="6"/>
      <c r="D36" s="6"/>
      <c r="E36" s="20"/>
      <c r="F36" s="2"/>
      <c r="G36" s="2"/>
      <c r="H36" s="19"/>
      <c r="I36" s="17"/>
      <c r="J36" s="2"/>
      <c r="K36" s="14"/>
      <c r="L36" s="6"/>
      <c r="M36" s="1"/>
    </row>
    <row r="37" spans="1:13" ht="14.45" customHeight="1">
      <c r="A37" s="4">
        <v>21</v>
      </c>
      <c r="B37" s="2"/>
      <c r="C37" s="6"/>
      <c r="D37" s="6"/>
      <c r="E37" s="20"/>
      <c r="F37" s="2"/>
      <c r="G37" s="2"/>
      <c r="H37" s="19"/>
      <c r="I37" s="17"/>
      <c r="J37" s="2"/>
      <c r="K37" s="14"/>
      <c r="L37" s="6"/>
      <c r="M37" s="1"/>
    </row>
    <row r="38" spans="1:13" ht="14.45" customHeight="1">
      <c r="A38" s="4">
        <v>22</v>
      </c>
      <c r="B38" s="2"/>
      <c r="C38" s="6"/>
      <c r="D38" s="6"/>
      <c r="E38" s="20"/>
      <c r="F38" s="2"/>
      <c r="G38" s="2"/>
      <c r="H38" s="19"/>
      <c r="I38" s="17"/>
      <c r="J38" s="2"/>
      <c r="K38" s="14"/>
      <c r="L38" s="6"/>
      <c r="M38" s="1"/>
    </row>
    <row r="39" spans="1:13" ht="14.45" customHeight="1">
      <c r="A39" s="4">
        <v>23</v>
      </c>
      <c r="B39" s="2"/>
      <c r="C39" s="6"/>
      <c r="D39" s="6"/>
      <c r="E39" s="20"/>
      <c r="F39" s="2"/>
      <c r="G39" s="2"/>
      <c r="H39" s="19"/>
      <c r="I39" s="17"/>
      <c r="J39" s="2"/>
      <c r="K39" s="14"/>
      <c r="L39" s="6"/>
      <c r="M39" s="1"/>
    </row>
    <row r="40" spans="1:13" ht="14.45" customHeight="1">
      <c r="A40" s="4">
        <v>24</v>
      </c>
      <c r="B40" s="2"/>
      <c r="C40" s="6"/>
      <c r="D40" s="6"/>
      <c r="E40" s="20"/>
      <c r="F40" s="2"/>
      <c r="G40" s="2"/>
      <c r="H40" s="19"/>
      <c r="I40" s="17"/>
      <c r="J40" s="2"/>
      <c r="K40" s="14"/>
      <c r="L40" s="6"/>
      <c r="M40" s="1"/>
    </row>
    <row r="41" spans="1:13" ht="14.45" customHeight="1">
      <c r="A41" s="4">
        <v>25</v>
      </c>
      <c r="B41" s="2"/>
      <c r="C41" s="6"/>
      <c r="D41" s="6"/>
      <c r="E41" s="20"/>
      <c r="F41" s="2"/>
      <c r="G41" s="2"/>
      <c r="H41" s="19"/>
      <c r="I41" s="17"/>
      <c r="J41" s="2"/>
      <c r="K41" s="14"/>
      <c r="L41" s="6"/>
      <c r="M41" s="1"/>
    </row>
    <row r="42" spans="1:13" ht="14.45" customHeight="1">
      <c r="A42" s="4">
        <v>26</v>
      </c>
      <c r="B42" s="2"/>
      <c r="C42" s="6"/>
      <c r="D42" s="6"/>
      <c r="E42" s="20"/>
      <c r="F42" s="2"/>
      <c r="G42" s="2"/>
      <c r="H42" s="19"/>
      <c r="I42" s="17"/>
      <c r="J42" s="2"/>
      <c r="K42" s="14"/>
      <c r="L42" s="6"/>
      <c r="M42" s="1"/>
    </row>
    <row r="43" spans="1:13" ht="14.45" customHeight="1">
      <c r="A43" s="4">
        <v>27</v>
      </c>
      <c r="B43" s="2"/>
      <c r="C43" s="6"/>
      <c r="D43" s="6"/>
      <c r="E43" s="20"/>
      <c r="F43" s="2"/>
      <c r="G43" s="2"/>
      <c r="H43" s="19"/>
      <c r="I43" s="17"/>
      <c r="J43" s="2"/>
      <c r="K43" s="14"/>
      <c r="L43" s="6"/>
      <c r="M43" s="1"/>
    </row>
    <row r="44" spans="1:13" ht="14.45" customHeight="1">
      <c r="A44" s="4">
        <v>28</v>
      </c>
      <c r="B44" s="2"/>
      <c r="C44" s="6"/>
      <c r="D44" s="6"/>
      <c r="E44" s="20"/>
      <c r="F44" s="2"/>
      <c r="G44" s="2"/>
      <c r="H44" s="19"/>
      <c r="I44" s="17"/>
      <c r="J44" s="2"/>
      <c r="K44" s="14"/>
      <c r="L44" s="6"/>
      <c r="M44" s="1"/>
    </row>
    <row r="45" spans="1:13" ht="14.45" customHeight="1">
      <c r="A45" s="4">
        <v>29</v>
      </c>
      <c r="B45" s="2"/>
      <c r="C45" s="6"/>
      <c r="D45" s="6"/>
      <c r="E45" s="20"/>
      <c r="F45" s="2"/>
      <c r="G45" s="2"/>
      <c r="H45" s="19"/>
      <c r="I45" s="17"/>
      <c r="J45" s="2"/>
      <c r="K45" s="14"/>
      <c r="L45" s="6"/>
      <c r="M45" s="1"/>
    </row>
    <row r="46" spans="1:13" ht="14.45" customHeight="1">
      <c r="A46" s="4">
        <v>30</v>
      </c>
      <c r="B46" s="2"/>
      <c r="C46" s="6"/>
      <c r="D46" s="6"/>
      <c r="E46" s="20"/>
      <c r="F46" s="2"/>
      <c r="G46" s="2"/>
      <c r="H46" s="19"/>
      <c r="I46" s="17"/>
      <c r="J46" s="2"/>
      <c r="K46" s="14"/>
      <c r="L46" s="6"/>
      <c r="M46" s="1"/>
    </row>
    <row r="47" spans="1:13" ht="14.45" customHeight="1">
      <c r="A47" s="4">
        <v>31</v>
      </c>
      <c r="B47" s="2"/>
      <c r="C47" s="6"/>
      <c r="D47" s="6"/>
      <c r="E47" s="20"/>
      <c r="F47" s="2"/>
      <c r="G47" s="2"/>
      <c r="H47" s="19"/>
      <c r="I47" s="17"/>
      <c r="J47" s="2"/>
      <c r="K47" s="14"/>
      <c r="L47" s="6"/>
      <c r="M47" s="1"/>
    </row>
    <row r="48" spans="1:13" ht="14.45" customHeight="1">
      <c r="A48" s="4">
        <v>32</v>
      </c>
      <c r="B48" s="2"/>
      <c r="C48" s="6"/>
      <c r="D48" s="6"/>
      <c r="E48" s="20"/>
      <c r="F48" s="2"/>
      <c r="G48" s="2"/>
      <c r="H48" s="19"/>
      <c r="I48" s="17"/>
      <c r="J48" s="2"/>
      <c r="K48" s="14"/>
      <c r="L48" s="6"/>
      <c r="M48" s="1"/>
    </row>
    <row r="49" spans="1:13" ht="14.45" customHeight="1">
      <c r="A49" s="4">
        <v>33</v>
      </c>
      <c r="B49" s="2"/>
      <c r="C49" s="6"/>
      <c r="D49" s="6"/>
      <c r="E49" s="20"/>
      <c r="F49" s="2"/>
      <c r="G49" s="2"/>
      <c r="H49" s="19"/>
      <c r="I49" s="17"/>
      <c r="J49" s="2"/>
      <c r="K49" s="14"/>
      <c r="L49" s="6"/>
      <c r="M49" s="1"/>
    </row>
    <row r="50" spans="1:13" ht="14.45" customHeight="1">
      <c r="A50" s="4">
        <v>34</v>
      </c>
      <c r="B50" s="2"/>
      <c r="C50" s="6"/>
      <c r="D50" s="6"/>
      <c r="E50" s="20"/>
      <c r="F50" s="2"/>
      <c r="G50" s="2"/>
      <c r="H50" s="19"/>
      <c r="I50" s="17"/>
      <c r="J50" s="2"/>
      <c r="K50" s="14"/>
      <c r="L50" s="6"/>
      <c r="M50" s="1"/>
    </row>
    <row r="51" spans="1:13" ht="14.45" customHeight="1">
      <c r="A51" s="4">
        <v>35</v>
      </c>
      <c r="B51" s="2"/>
      <c r="C51" s="6"/>
      <c r="D51" s="6"/>
      <c r="E51" s="20"/>
      <c r="F51" s="2"/>
      <c r="G51" s="2"/>
      <c r="H51" s="19"/>
      <c r="I51" s="17"/>
      <c r="J51" s="2"/>
      <c r="K51" s="14"/>
      <c r="L51" s="6"/>
      <c r="M51" s="1"/>
    </row>
    <row r="52" spans="1:13" ht="14.45" customHeight="1">
      <c r="A52" s="4">
        <v>36</v>
      </c>
      <c r="B52" s="2"/>
      <c r="C52" s="6"/>
      <c r="D52" s="6"/>
      <c r="E52" s="20"/>
      <c r="F52" s="2"/>
      <c r="G52" s="2"/>
      <c r="H52" s="19"/>
      <c r="I52" s="17"/>
      <c r="J52" s="2"/>
      <c r="K52" s="14"/>
      <c r="L52" s="6"/>
      <c r="M52" s="1"/>
    </row>
    <row r="53" spans="1:13" ht="14.45" customHeight="1">
      <c r="A53" s="4">
        <v>37</v>
      </c>
      <c r="B53" s="2"/>
      <c r="C53" s="6"/>
      <c r="D53" s="6"/>
      <c r="E53" s="20"/>
      <c r="F53" s="2"/>
      <c r="G53" s="2"/>
      <c r="H53" s="19"/>
      <c r="I53" s="17"/>
      <c r="J53" s="2"/>
      <c r="K53" s="14"/>
      <c r="L53" s="6"/>
      <c r="M53" s="1"/>
    </row>
    <row r="54" spans="1:13" ht="14.45" customHeight="1">
      <c r="A54" s="4">
        <v>38</v>
      </c>
      <c r="B54" s="2"/>
      <c r="C54" s="6"/>
      <c r="D54" s="6"/>
      <c r="E54" s="20"/>
      <c r="F54" s="2"/>
      <c r="G54" s="2"/>
      <c r="H54" s="19"/>
      <c r="I54" s="17"/>
      <c r="J54" s="2"/>
      <c r="K54" s="14"/>
      <c r="L54" s="6"/>
      <c r="M54" s="1"/>
    </row>
    <row r="55" spans="1:13" ht="14.45" customHeight="1">
      <c r="A55" s="4">
        <v>39</v>
      </c>
      <c r="B55" s="2"/>
      <c r="C55" s="6"/>
      <c r="D55" s="6"/>
      <c r="E55" s="20"/>
      <c r="F55" s="2"/>
      <c r="G55" s="2"/>
      <c r="H55" s="19"/>
      <c r="I55" s="17"/>
      <c r="J55" s="2"/>
      <c r="K55" s="14"/>
      <c r="L55" s="6"/>
      <c r="M55" s="1"/>
    </row>
    <row r="56" spans="1:13" ht="14.45" customHeight="1">
      <c r="A56"/>
      <c r="B56" s="7"/>
      <c r="C56" s="7"/>
      <c r="D56" s="7"/>
    </row>
    <row r="57" spans="1:13" ht="14.45" customHeight="1">
      <c r="A57"/>
    </row>
    <row r="58" spans="1:13" ht="14.45" customHeight="1">
      <c r="A58"/>
    </row>
    <row r="59" spans="1:13" ht="14.45" customHeight="1">
      <c r="A59"/>
    </row>
    <row r="60" spans="1:13" ht="14.45" customHeight="1">
      <c r="A60"/>
    </row>
    <row r="61" spans="1:13" ht="14.45" customHeight="1">
      <c r="A61"/>
    </row>
    <row r="62" spans="1:13" ht="14.45" customHeight="1">
      <c r="A62" s="10"/>
    </row>
    <row r="63" spans="1:13" ht="14.45" customHeight="1">
      <c r="A63" s="10"/>
    </row>
    <row r="64" spans="1:13" ht="14.45" customHeight="1">
      <c r="A64" s="10"/>
    </row>
    <row r="65" spans="1:1" ht="14.45" customHeight="1">
      <c r="A65" s="10"/>
    </row>
    <row r="66" spans="1:1" ht="14.45" customHeight="1">
      <c r="A66" s="10"/>
    </row>
    <row r="67" spans="1:1" ht="14.45" customHeight="1">
      <c r="A67" s="10"/>
    </row>
    <row r="68" spans="1:1" ht="14.45" customHeight="1">
      <c r="A68" s="10"/>
    </row>
    <row r="69" spans="1:1" ht="14.45" customHeight="1">
      <c r="A69" s="10"/>
    </row>
    <row r="70" spans="1:1" ht="14.45" customHeight="1">
      <c r="A70" s="10"/>
    </row>
    <row r="71" spans="1:1" ht="14.45" customHeight="1">
      <c r="A71" s="10"/>
    </row>
    <row r="72" spans="1:1" ht="14.45" customHeight="1">
      <c r="A72" s="10"/>
    </row>
    <row r="73" spans="1:1" ht="14.45" customHeight="1">
      <c r="A73" s="10"/>
    </row>
    <row r="74" spans="1:1" ht="14.45" customHeight="1">
      <c r="A74" s="10"/>
    </row>
    <row r="75" spans="1:1" ht="14.45" customHeight="1">
      <c r="A75" s="10"/>
    </row>
    <row r="76" spans="1:1" ht="14.45" customHeight="1">
      <c r="A76" s="10"/>
    </row>
    <row r="77" spans="1:1" ht="14.45" customHeight="1">
      <c r="A77" s="10"/>
    </row>
    <row r="78" spans="1:1" ht="14.45" customHeight="1">
      <c r="A78" s="10"/>
    </row>
    <row r="79" spans="1:1" ht="14.45" customHeight="1">
      <c r="A79" s="10"/>
    </row>
    <row r="80" spans="1:1" ht="14.45" customHeight="1">
      <c r="A80" s="10"/>
    </row>
    <row r="81" spans="1:1" ht="14.45" customHeight="1">
      <c r="A81" s="10"/>
    </row>
    <row r="82" spans="1:1" ht="14.45" customHeight="1">
      <c r="A82" s="10"/>
    </row>
    <row r="83" spans="1:1" ht="14.45" customHeight="1">
      <c r="A83" s="10"/>
    </row>
    <row r="84" spans="1:1" ht="14.45" customHeight="1">
      <c r="A84" s="10"/>
    </row>
    <row r="85" spans="1:1" ht="14.45" customHeight="1">
      <c r="A85" s="10"/>
    </row>
    <row r="86" spans="1:1" ht="14.45" customHeight="1">
      <c r="A86" s="10"/>
    </row>
    <row r="87" spans="1:1" ht="14.45" customHeight="1">
      <c r="A87" s="10"/>
    </row>
    <row r="88" spans="1:1" ht="14.45" customHeight="1">
      <c r="A88" s="10"/>
    </row>
    <row r="89" spans="1:1" ht="14.45" customHeight="1">
      <c r="A89" s="10"/>
    </row>
    <row r="90" spans="1:1">
      <c r="A90" s="10"/>
    </row>
    <row r="91" spans="1:1">
      <c r="A91" s="10"/>
    </row>
    <row r="92" spans="1:1">
      <c r="A92" s="10"/>
    </row>
    <row r="93" spans="1:1">
      <c r="A93" s="10"/>
    </row>
    <row r="94" spans="1:1">
      <c r="A94" s="10"/>
    </row>
    <row r="95" spans="1:1">
      <c r="A95" s="10"/>
    </row>
    <row r="96" spans="1:1">
      <c r="A96" s="10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1">
      <c r="A129" s="10"/>
    </row>
    <row r="130" spans="1:1">
      <c r="A130" s="10"/>
    </row>
    <row r="131" spans="1:1">
      <c r="A131" s="10"/>
    </row>
    <row r="132" spans="1:1">
      <c r="A132" s="10"/>
    </row>
    <row r="133" spans="1:1">
      <c r="A133" s="10"/>
    </row>
    <row r="134" spans="1:1">
      <c r="A134" s="10"/>
    </row>
    <row r="135" spans="1:1">
      <c r="A135" s="10"/>
    </row>
    <row r="136" spans="1:1">
      <c r="A136" s="10"/>
    </row>
    <row r="137" spans="1:1">
      <c r="A137" s="10"/>
    </row>
    <row r="138" spans="1:1">
      <c r="A138" s="10"/>
    </row>
    <row r="139" spans="1:1">
      <c r="A139" s="10"/>
    </row>
    <row r="140" spans="1:1">
      <c r="A140" s="10"/>
    </row>
    <row r="141" spans="1:1">
      <c r="A141" s="10"/>
    </row>
    <row r="142" spans="1:1">
      <c r="A142" s="10"/>
    </row>
    <row r="143" spans="1:1">
      <c r="A143" s="10"/>
    </row>
    <row r="144" spans="1:1">
      <c r="A144" s="10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  <row r="203" spans="1:1">
      <c r="A203" s="10"/>
    </row>
    <row r="204" spans="1:1">
      <c r="A204" s="10"/>
    </row>
    <row r="205" spans="1:1">
      <c r="A205" s="10"/>
    </row>
    <row r="206" spans="1:1">
      <c r="A206" s="10"/>
    </row>
    <row r="207" spans="1:1">
      <c r="A207" s="10"/>
    </row>
    <row r="208" spans="1:1">
      <c r="A208" s="10"/>
    </row>
    <row r="209" spans="1:1">
      <c r="A209" s="10"/>
    </row>
    <row r="210" spans="1:1">
      <c r="A210" s="10"/>
    </row>
    <row r="211" spans="1:1">
      <c r="A211" s="10"/>
    </row>
    <row r="212" spans="1:1">
      <c r="A212" s="10"/>
    </row>
    <row r="213" spans="1:1">
      <c r="A213" s="10"/>
    </row>
    <row r="214" spans="1:1">
      <c r="A214" s="10"/>
    </row>
    <row r="215" spans="1:1">
      <c r="A215" s="10"/>
    </row>
    <row r="216" spans="1:1">
      <c r="A216" s="10"/>
    </row>
    <row r="217" spans="1:1">
      <c r="A217" s="10"/>
    </row>
    <row r="218" spans="1:1">
      <c r="A218" s="10"/>
    </row>
    <row r="219" spans="1:1">
      <c r="A219" s="10"/>
    </row>
    <row r="220" spans="1:1">
      <c r="A220" s="10"/>
    </row>
    <row r="221" spans="1:1">
      <c r="A221" s="10"/>
    </row>
    <row r="222" spans="1:1">
      <c r="A222" s="10"/>
    </row>
    <row r="223" spans="1:1">
      <c r="A223" s="10"/>
    </row>
    <row r="224" spans="1:1">
      <c r="A224" s="10"/>
    </row>
    <row r="225" spans="1:1">
      <c r="A225" s="10"/>
    </row>
    <row r="226" spans="1:1">
      <c r="A226" s="10"/>
    </row>
    <row r="227" spans="1:1">
      <c r="A227" s="10"/>
    </row>
    <row r="228" spans="1:1">
      <c r="A228" s="10"/>
    </row>
    <row r="229" spans="1:1">
      <c r="A229" s="10"/>
    </row>
    <row r="230" spans="1:1">
      <c r="A230" s="10"/>
    </row>
    <row r="231" spans="1:1">
      <c r="A231" s="10"/>
    </row>
    <row r="232" spans="1:1">
      <c r="A232" s="10"/>
    </row>
    <row r="233" spans="1:1">
      <c r="A233" s="10"/>
    </row>
    <row r="234" spans="1:1">
      <c r="A234" s="10"/>
    </row>
    <row r="235" spans="1:1">
      <c r="A235" s="10"/>
    </row>
    <row r="236" spans="1:1">
      <c r="A236" s="10"/>
    </row>
    <row r="237" spans="1:1">
      <c r="A237" s="10"/>
    </row>
    <row r="238" spans="1:1">
      <c r="A238" s="10"/>
    </row>
    <row r="239" spans="1:1">
      <c r="A239" s="10"/>
    </row>
    <row r="240" spans="1:1">
      <c r="A240" s="10"/>
    </row>
    <row r="241" spans="1:1">
      <c r="A241" s="10"/>
    </row>
    <row r="242" spans="1:1">
      <c r="A242" s="10"/>
    </row>
    <row r="243" spans="1:1">
      <c r="A243" s="10"/>
    </row>
    <row r="244" spans="1:1">
      <c r="A244" s="10"/>
    </row>
    <row r="245" spans="1:1">
      <c r="A245" s="10"/>
    </row>
    <row r="246" spans="1:1">
      <c r="A246" s="10"/>
    </row>
    <row r="247" spans="1:1">
      <c r="A247" s="10"/>
    </row>
    <row r="248" spans="1:1">
      <c r="A248" s="10"/>
    </row>
    <row r="249" spans="1:1">
      <c r="A249" s="10"/>
    </row>
    <row r="250" spans="1:1">
      <c r="A250" s="10"/>
    </row>
    <row r="251" spans="1:1">
      <c r="A251" s="10"/>
    </row>
    <row r="252" spans="1:1">
      <c r="A252" s="10"/>
    </row>
    <row r="253" spans="1:1">
      <c r="A253" s="10"/>
    </row>
    <row r="254" spans="1:1">
      <c r="A254" s="10"/>
    </row>
    <row r="255" spans="1:1">
      <c r="A255" s="10"/>
    </row>
    <row r="256" spans="1:1">
      <c r="A256" s="10"/>
    </row>
    <row r="257" spans="1:1">
      <c r="A257" s="10"/>
    </row>
    <row r="258" spans="1:1">
      <c r="A258" s="10"/>
    </row>
    <row r="259" spans="1:1">
      <c r="A259" s="10"/>
    </row>
    <row r="260" spans="1:1">
      <c r="A260" s="10"/>
    </row>
    <row r="261" spans="1:1">
      <c r="A261" s="10"/>
    </row>
    <row r="262" spans="1:1">
      <c r="A262" s="10"/>
    </row>
    <row r="263" spans="1:1">
      <c r="A263" s="10"/>
    </row>
    <row r="264" spans="1:1">
      <c r="A264" s="10"/>
    </row>
    <row r="265" spans="1:1">
      <c r="A265" s="10"/>
    </row>
    <row r="266" spans="1:1">
      <c r="A266" s="10"/>
    </row>
    <row r="267" spans="1:1">
      <c r="A267" s="10"/>
    </row>
    <row r="268" spans="1:1">
      <c r="A268" s="10"/>
    </row>
    <row r="269" spans="1:1">
      <c r="A269" s="10"/>
    </row>
    <row r="270" spans="1:1">
      <c r="A270" s="10"/>
    </row>
    <row r="271" spans="1:1">
      <c r="A271" s="10"/>
    </row>
    <row r="272" spans="1:1">
      <c r="A272" s="10"/>
    </row>
    <row r="273" spans="1:1">
      <c r="A273" s="10"/>
    </row>
    <row r="274" spans="1:1">
      <c r="A274" s="10"/>
    </row>
    <row r="275" spans="1:1">
      <c r="A275" s="10"/>
    </row>
    <row r="276" spans="1:1">
      <c r="A276" s="10"/>
    </row>
    <row r="277" spans="1:1">
      <c r="A277" s="10"/>
    </row>
    <row r="278" spans="1:1">
      <c r="A278" s="10"/>
    </row>
    <row r="279" spans="1:1">
      <c r="A279" s="10"/>
    </row>
    <row r="280" spans="1:1">
      <c r="A280" s="10"/>
    </row>
    <row r="281" spans="1:1">
      <c r="A281" s="10"/>
    </row>
    <row r="282" spans="1:1">
      <c r="A282" s="10"/>
    </row>
    <row r="283" spans="1:1">
      <c r="A283" s="10"/>
    </row>
    <row r="284" spans="1:1">
      <c r="A284" s="10"/>
    </row>
    <row r="285" spans="1:1">
      <c r="A285" s="10"/>
    </row>
    <row r="286" spans="1:1">
      <c r="A286" s="10"/>
    </row>
    <row r="287" spans="1:1">
      <c r="A287" s="10"/>
    </row>
    <row r="288" spans="1:1">
      <c r="A288" s="10"/>
    </row>
    <row r="289" spans="1:1">
      <c r="A289" s="10"/>
    </row>
    <row r="290" spans="1:1">
      <c r="A290" s="10"/>
    </row>
    <row r="291" spans="1:1">
      <c r="A291" s="10"/>
    </row>
    <row r="292" spans="1:1">
      <c r="A292" s="10"/>
    </row>
    <row r="293" spans="1:1">
      <c r="A293" s="10"/>
    </row>
    <row r="294" spans="1:1">
      <c r="A294" s="10"/>
    </row>
    <row r="295" spans="1:1">
      <c r="A295" s="10"/>
    </row>
    <row r="296" spans="1:1">
      <c r="A296" s="10"/>
    </row>
    <row r="297" spans="1:1">
      <c r="A297" s="10"/>
    </row>
    <row r="298" spans="1:1">
      <c r="A298" s="10"/>
    </row>
    <row r="299" spans="1:1">
      <c r="A299" s="10"/>
    </row>
    <row r="300" spans="1:1">
      <c r="A300" s="10"/>
    </row>
    <row r="301" spans="1:1">
      <c r="A301" s="10"/>
    </row>
    <row r="302" spans="1:1">
      <c r="A302" s="10"/>
    </row>
    <row r="303" spans="1:1">
      <c r="A303" s="10"/>
    </row>
    <row r="304" spans="1:1">
      <c r="A304" s="10"/>
    </row>
    <row r="305" spans="1:1">
      <c r="A305" s="10"/>
    </row>
    <row r="306" spans="1:1">
      <c r="A306" s="10"/>
    </row>
    <row r="307" spans="1:1">
      <c r="A307" s="10"/>
    </row>
    <row r="308" spans="1:1">
      <c r="A308" s="10"/>
    </row>
    <row r="309" spans="1:1">
      <c r="A309" s="10"/>
    </row>
    <row r="310" spans="1:1">
      <c r="A310" s="10"/>
    </row>
    <row r="311" spans="1:1">
      <c r="A311" s="10"/>
    </row>
    <row r="312" spans="1:1">
      <c r="A312" s="10"/>
    </row>
    <row r="313" spans="1:1">
      <c r="A313" s="10"/>
    </row>
    <row r="314" spans="1:1">
      <c r="A314" s="10"/>
    </row>
    <row r="315" spans="1:1">
      <c r="A315" s="10"/>
    </row>
    <row r="316" spans="1:1">
      <c r="A316" s="10"/>
    </row>
    <row r="317" spans="1:1">
      <c r="A317" s="10"/>
    </row>
    <row r="318" spans="1:1">
      <c r="A318" s="10"/>
    </row>
    <row r="319" spans="1:1">
      <c r="A319" s="10"/>
    </row>
    <row r="320" spans="1:1">
      <c r="A320" s="10"/>
    </row>
    <row r="321" spans="1:1">
      <c r="A321" s="10"/>
    </row>
    <row r="322" spans="1:1">
      <c r="A322" s="10"/>
    </row>
    <row r="323" spans="1:1">
      <c r="A323" s="10"/>
    </row>
    <row r="324" spans="1:1">
      <c r="A324" s="10"/>
    </row>
    <row r="325" spans="1:1">
      <c r="A325" s="10"/>
    </row>
    <row r="326" spans="1:1">
      <c r="A326" s="10"/>
    </row>
    <row r="327" spans="1:1">
      <c r="A327" s="10"/>
    </row>
    <row r="328" spans="1:1">
      <c r="A328" s="10"/>
    </row>
    <row r="329" spans="1:1">
      <c r="A329" s="10"/>
    </row>
    <row r="330" spans="1:1">
      <c r="A330" s="10"/>
    </row>
    <row r="331" spans="1:1">
      <c r="A331" s="10"/>
    </row>
    <row r="332" spans="1:1">
      <c r="A332" s="10"/>
    </row>
    <row r="333" spans="1:1">
      <c r="A333" s="10"/>
    </row>
    <row r="334" spans="1:1">
      <c r="A334" s="10"/>
    </row>
    <row r="335" spans="1:1">
      <c r="A335" s="10"/>
    </row>
    <row r="336" spans="1:1">
      <c r="A336" s="10"/>
    </row>
    <row r="337" spans="1:1">
      <c r="A337" s="10"/>
    </row>
    <row r="338" spans="1:1">
      <c r="A338" s="10"/>
    </row>
    <row r="339" spans="1:1">
      <c r="A339" s="10"/>
    </row>
    <row r="340" spans="1:1">
      <c r="A340" s="10"/>
    </row>
    <row r="341" spans="1:1">
      <c r="A341" s="10"/>
    </row>
    <row r="342" spans="1:1">
      <c r="A342" s="10"/>
    </row>
    <row r="343" spans="1:1">
      <c r="A343" s="10"/>
    </row>
    <row r="344" spans="1:1">
      <c r="A344" s="10"/>
    </row>
    <row r="345" spans="1:1">
      <c r="A345" s="10"/>
    </row>
    <row r="346" spans="1:1">
      <c r="A346" s="10"/>
    </row>
    <row r="347" spans="1:1">
      <c r="A347" s="10"/>
    </row>
    <row r="348" spans="1:1">
      <c r="A348" s="10"/>
    </row>
    <row r="349" spans="1:1">
      <c r="A349" s="10"/>
    </row>
    <row r="350" spans="1:1">
      <c r="A350" s="10"/>
    </row>
    <row r="351" spans="1:1">
      <c r="A351" s="10"/>
    </row>
    <row r="352" spans="1:1">
      <c r="A352" s="10"/>
    </row>
    <row r="353" spans="1:1">
      <c r="A353" s="10"/>
    </row>
    <row r="354" spans="1:1">
      <c r="A354" s="10"/>
    </row>
    <row r="355" spans="1:1">
      <c r="A355" s="10"/>
    </row>
    <row r="356" spans="1:1">
      <c r="A356" s="10"/>
    </row>
    <row r="357" spans="1:1">
      <c r="A357" s="10"/>
    </row>
    <row r="358" spans="1:1">
      <c r="A358" s="10"/>
    </row>
    <row r="359" spans="1:1">
      <c r="A359" s="10"/>
    </row>
    <row r="360" spans="1:1">
      <c r="A360" s="10"/>
    </row>
    <row r="361" spans="1:1">
      <c r="A361" s="10"/>
    </row>
    <row r="362" spans="1:1">
      <c r="A362" s="10"/>
    </row>
    <row r="363" spans="1:1">
      <c r="A363" s="10"/>
    </row>
    <row r="364" spans="1:1">
      <c r="A364" s="10"/>
    </row>
    <row r="365" spans="1:1">
      <c r="A365" s="10"/>
    </row>
    <row r="366" spans="1:1">
      <c r="A366" s="10"/>
    </row>
    <row r="367" spans="1:1">
      <c r="A367" s="10"/>
    </row>
    <row r="368" spans="1:1">
      <c r="A368" s="10"/>
    </row>
    <row r="369" spans="1:1">
      <c r="A369" s="10"/>
    </row>
    <row r="370" spans="1:1">
      <c r="A370" s="10"/>
    </row>
    <row r="371" spans="1:1">
      <c r="A371" s="10"/>
    </row>
    <row r="372" spans="1:1">
      <c r="A372" s="10"/>
    </row>
    <row r="373" spans="1:1">
      <c r="A373" s="10"/>
    </row>
    <row r="374" spans="1:1">
      <c r="A374" s="10"/>
    </row>
    <row r="375" spans="1:1">
      <c r="A375" s="10"/>
    </row>
    <row r="376" spans="1:1">
      <c r="A376" s="10"/>
    </row>
    <row r="377" spans="1:1">
      <c r="A377" s="10"/>
    </row>
    <row r="378" spans="1:1">
      <c r="A378" s="10"/>
    </row>
    <row r="379" spans="1:1">
      <c r="A379" s="10"/>
    </row>
    <row r="380" spans="1:1">
      <c r="A380" s="10"/>
    </row>
    <row r="381" spans="1:1">
      <c r="A381" s="10"/>
    </row>
    <row r="382" spans="1:1">
      <c r="A382" s="10"/>
    </row>
    <row r="383" spans="1:1">
      <c r="A383" s="10"/>
    </row>
    <row r="384" spans="1:1">
      <c r="A384" s="10"/>
    </row>
    <row r="385" spans="1:1">
      <c r="A385" s="10"/>
    </row>
    <row r="386" spans="1:1">
      <c r="A386" s="10"/>
    </row>
    <row r="387" spans="1:1">
      <c r="A387" s="10"/>
    </row>
    <row r="388" spans="1:1">
      <c r="A388" s="10"/>
    </row>
    <row r="389" spans="1:1">
      <c r="A389" s="10"/>
    </row>
    <row r="390" spans="1:1">
      <c r="A390" s="10"/>
    </row>
    <row r="391" spans="1:1">
      <c r="A391" s="10"/>
    </row>
    <row r="392" spans="1:1">
      <c r="A392" s="10"/>
    </row>
    <row r="393" spans="1:1">
      <c r="A393" s="10"/>
    </row>
    <row r="394" spans="1:1">
      <c r="A394" s="10"/>
    </row>
    <row r="395" spans="1:1">
      <c r="A395" s="10"/>
    </row>
    <row r="396" spans="1:1">
      <c r="A396" s="10"/>
    </row>
    <row r="397" spans="1:1">
      <c r="A397" s="10"/>
    </row>
    <row r="398" spans="1:1">
      <c r="A398" s="10"/>
    </row>
    <row r="399" spans="1:1">
      <c r="A399" s="10"/>
    </row>
    <row r="400" spans="1:1">
      <c r="A400" s="10"/>
    </row>
    <row r="401" spans="1:1">
      <c r="A401" s="10"/>
    </row>
    <row r="402" spans="1:1">
      <c r="A402" s="10"/>
    </row>
    <row r="403" spans="1:1">
      <c r="A403" s="10"/>
    </row>
    <row r="404" spans="1:1">
      <c r="A404" s="10"/>
    </row>
    <row r="405" spans="1:1">
      <c r="A405" s="10"/>
    </row>
    <row r="406" spans="1:1">
      <c r="A406" s="10"/>
    </row>
    <row r="407" spans="1:1">
      <c r="A407" s="10"/>
    </row>
    <row r="408" spans="1:1">
      <c r="A408" s="10"/>
    </row>
    <row r="409" spans="1:1">
      <c r="A409" s="10"/>
    </row>
    <row r="410" spans="1:1">
      <c r="A410" s="10"/>
    </row>
    <row r="411" spans="1:1">
      <c r="A411" s="10"/>
    </row>
    <row r="412" spans="1:1">
      <c r="A412" s="10"/>
    </row>
    <row r="413" spans="1:1">
      <c r="A413" s="10"/>
    </row>
    <row r="414" spans="1:1">
      <c r="A414" s="10"/>
    </row>
    <row r="415" spans="1:1">
      <c r="A415" s="10"/>
    </row>
    <row r="416" spans="1:1">
      <c r="A416" s="10"/>
    </row>
    <row r="417" spans="1:1">
      <c r="A417" s="10"/>
    </row>
    <row r="418" spans="1:1">
      <c r="A418" s="10"/>
    </row>
    <row r="419" spans="1:1">
      <c r="A419" s="10"/>
    </row>
    <row r="420" spans="1:1">
      <c r="A420" s="10"/>
    </row>
    <row r="421" spans="1:1">
      <c r="A421" s="10"/>
    </row>
    <row r="422" spans="1:1">
      <c r="A422" s="10"/>
    </row>
    <row r="423" spans="1:1">
      <c r="A423" s="10"/>
    </row>
    <row r="424" spans="1:1">
      <c r="A424" s="10"/>
    </row>
    <row r="425" spans="1:1">
      <c r="A425" s="10"/>
    </row>
    <row r="426" spans="1:1">
      <c r="A426" s="10"/>
    </row>
    <row r="427" spans="1:1">
      <c r="A427" s="10"/>
    </row>
    <row r="428" spans="1:1">
      <c r="A428" s="10"/>
    </row>
    <row r="429" spans="1:1">
      <c r="A429" s="10"/>
    </row>
    <row r="430" spans="1:1">
      <c r="A430" s="10"/>
    </row>
    <row r="431" spans="1:1">
      <c r="A431" s="10"/>
    </row>
    <row r="432" spans="1:1">
      <c r="A432" s="10"/>
    </row>
    <row r="433" spans="1:1">
      <c r="A433" s="10"/>
    </row>
    <row r="434" spans="1:1">
      <c r="A434" s="10"/>
    </row>
    <row r="435" spans="1:1">
      <c r="A435" s="10"/>
    </row>
    <row r="436" spans="1:1">
      <c r="A436" s="10"/>
    </row>
    <row r="437" spans="1:1">
      <c r="A437" s="10"/>
    </row>
    <row r="438" spans="1:1">
      <c r="A438" s="10"/>
    </row>
    <row r="439" spans="1:1">
      <c r="A439" s="10"/>
    </row>
    <row r="440" spans="1:1">
      <c r="A440" s="10"/>
    </row>
    <row r="441" spans="1:1">
      <c r="A441" s="10"/>
    </row>
    <row r="442" spans="1:1">
      <c r="A442" s="10"/>
    </row>
    <row r="443" spans="1:1">
      <c r="A443" s="10"/>
    </row>
    <row r="444" spans="1:1">
      <c r="A444" s="10"/>
    </row>
    <row r="445" spans="1:1">
      <c r="A445" s="10"/>
    </row>
    <row r="446" spans="1:1">
      <c r="A446" s="10"/>
    </row>
    <row r="447" spans="1:1">
      <c r="A447" s="10"/>
    </row>
    <row r="448" spans="1:1">
      <c r="A448" s="10"/>
    </row>
    <row r="449" spans="1:1">
      <c r="A449" s="10"/>
    </row>
    <row r="450" spans="1:1">
      <c r="A450" s="10"/>
    </row>
    <row r="451" spans="1:1">
      <c r="A451" s="10"/>
    </row>
    <row r="452" spans="1:1">
      <c r="A452" s="10"/>
    </row>
    <row r="453" spans="1:1">
      <c r="A453" s="10"/>
    </row>
    <row r="454" spans="1:1">
      <c r="A454" s="10"/>
    </row>
    <row r="455" spans="1:1">
      <c r="A455" s="10"/>
    </row>
    <row r="456" spans="1:1">
      <c r="A456" s="10"/>
    </row>
    <row r="457" spans="1:1">
      <c r="A457" s="10"/>
    </row>
    <row r="458" spans="1:1">
      <c r="A458" s="10"/>
    </row>
    <row r="459" spans="1:1">
      <c r="A459" s="10"/>
    </row>
    <row r="460" spans="1:1">
      <c r="A460" s="10"/>
    </row>
    <row r="461" spans="1:1">
      <c r="A461" s="10"/>
    </row>
    <row r="462" spans="1:1">
      <c r="A462" s="10"/>
    </row>
    <row r="463" spans="1:1">
      <c r="A463" s="10"/>
    </row>
    <row r="464" spans="1:1">
      <c r="A464" s="10"/>
    </row>
    <row r="465" spans="1:1">
      <c r="A465" s="10"/>
    </row>
    <row r="466" spans="1:1">
      <c r="A466" s="10"/>
    </row>
    <row r="467" spans="1:1">
      <c r="A467" s="10"/>
    </row>
    <row r="468" spans="1:1">
      <c r="A468" s="10"/>
    </row>
    <row r="469" spans="1:1">
      <c r="A469" s="10"/>
    </row>
    <row r="470" spans="1:1">
      <c r="A470" s="10"/>
    </row>
    <row r="471" spans="1:1">
      <c r="A471" s="10"/>
    </row>
    <row r="472" spans="1:1">
      <c r="A472" s="10"/>
    </row>
    <row r="473" spans="1:1">
      <c r="A473" s="10"/>
    </row>
    <row r="474" spans="1:1">
      <c r="A474" s="10"/>
    </row>
    <row r="475" spans="1:1">
      <c r="A475" s="10"/>
    </row>
    <row r="476" spans="1:1">
      <c r="A476" s="10"/>
    </row>
    <row r="477" spans="1:1">
      <c r="A477" s="10"/>
    </row>
    <row r="478" spans="1:1">
      <c r="A478" s="10"/>
    </row>
    <row r="479" spans="1:1">
      <c r="A479" s="10"/>
    </row>
    <row r="480" spans="1:1">
      <c r="A480" s="10"/>
    </row>
    <row r="481" spans="1:1">
      <c r="A481" s="10"/>
    </row>
    <row r="482" spans="1:1">
      <c r="A482" s="10"/>
    </row>
    <row r="483" spans="1:1">
      <c r="A483" s="10"/>
    </row>
    <row r="484" spans="1:1">
      <c r="A484" s="10"/>
    </row>
    <row r="485" spans="1:1">
      <c r="A485" s="10"/>
    </row>
    <row r="486" spans="1:1">
      <c r="A486" s="10"/>
    </row>
    <row r="487" spans="1:1">
      <c r="A487" s="10"/>
    </row>
    <row r="488" spans="1:1">
      <c r="A488" s="10"/>
    </row>
    <row r="489" spans="1:1">
      <c r="A489" s="10"/>
    </row>
    <row r="490" spans="1:1">
      <c r="A490" s="10"/>
    </row>
    <row r="491" spans="1:1">
      <c r="A491" s="10"/>
    </row>
    <row r="492" spans="1:1">
      <c r="A492" s="10"/>
    </row>
    <row r="493" spans="1:1">
      <c r="A493" s="10"/>
    </row>
    <row r="494" spans="1:1">
      <c r="A494" s="10"/>
    </row>
    <row r="495" spans="1:1">
      <c r="A495" s="10"/>
    </row>
    <row r="496" spans="1:1">
      <c r="A496" s="10"/>
    </row>
    <row r="497" spans="1:1">
      <c r="A497" s="10"/>
    </row>
    <row r="498" spans="1:1">
      <c r="A498" s="10"/>
    </row>
    <row r="499" spans="1:1">
      <c r="A499" s="10"/>
    </row>
    <row r="500" spans="1:1">
      <c r="A500" s="10"/>
    </row>
    <row r="501" spans="1:1">
      <c r="A501" s="10"/>
    </row>
    <row r="502" spans="1:1">
      <c r="A502" s="10"/>
    </row>
    <row r="503" spans="1:1">
      <c r="A503" s="10"/>
    </row>
    <row r="504" spans="1:1">
      <c r="A504" s="10"/>
    </row>
    <row r="505" spans="1:1">
      <c r="A505" s="10"/>
    </row>
    <row r="506" spans="1:1">
      <c r="A506" s="10"/>
    </row>
    <row r="507" spans="1:1">
      <c r="A507" s="10"/>
    </row>
    <row r="508" spans="1:1">
      <c r="A508" s="10"/>
    </row>
    <row r="509" spans="1:1">
      <c r="A509" s="10"/>
    </row>
    <row r="510" spans="1:1">
      <c r="A510" s="10"/>
    </row>
    <row r="511" spans="1:1">
      <c r="A511" s="10"/>
    </row>
    <row r="512" spans="1:1">
      <c r="A512" s="10"/>
    </row>
    <row r="513" spans="1:1">
      <c r="A513" s="10"/>
    </row>
    <row r="514" spans="1:1">
      <c r="A514" s="10"/>
    </row>
    <row r="515" spans="1:1">
      <c r="A515" s="10"/>
    </row>
    <row r="516" spans="1:1">
      <c r="A516" s="10"/>
    </row>
    <row r="517" spans="1:1">
      <c r="A517" s="10"/>
    </row>
    <row r="518" spans="1:1">
      <c r="A518" s="10"/>
    </row>
    <row r="519" spans="1:1">
      <c r="A519" s="10"/>
    </row>
    <row r="520" spans="1:1">
      <c r="A520" s="10"/>
    </row>
    <row r="521" spans="1:1">
      <c r="A521" s="10"/>
    </row>
    <row r="522" spans="1:1">
      <c r="A522" s="10"/>
    </row>
    <row r="523" spans="1:1">
      <c r="A523" s="10"/>
    </row>
    <row r="524" spans="1:1">
      <c r="A524" s="10"/>
    </row>
    <row r="525" spans="1:1">
      <c r="A525" s="10"/>
    </row>
    <row r="526" spans="1:1">
      <c r="A526" s="10"/>
    </row>
  </sheetData>
  <mergeCells count="11">
    <mergeCell ref="A14:D15"/>
    <mergeCell ref="E14:M15"/>
    <mergeCell ref="E2:G2"/>
    <mergeCell ref="E3:G3"/>
    <mergeCell ref="E4:G5"/>
    <mergeCell ref="E6:G6"/>
    <mergeCell ref="E7:G8"/>
    <mergeCell ref="E9:G9"/>
    <mergeCell ref="E10:G11"/>
    <mergeCell ref="E13:G13"/>
    <mergeCell ref="E12:G12"/>
  </mergeCells>
  <conditionalFormatting sqref="B17:B36">
    <cfRule type="cellIs" dxfId="43" priority="28" operator="equal">
      <formula>"Need to Apply"</formula>
    </cfRule>
    <cfRule type="cellIs" dxfId="42" priority="29" operator="equal">
      <formula>"Negotiating"</formula>
    </cfRule>
    <cfRule type="cellIs" dxfId="41" priority="30" operator="equal">
      <formula>"Replaced"</formula>
    </cfRule>
    <cfRule type="cellIs" dxfId="40" priority="31" operator="equal">
      <formula>"Job Offer"</formula>
    </cfRule>
  </conditionalFormatting>
  <conditionalFormatting sqref="B17:B55">
    <cfRule type="cellIs" dxfId="39" priority="22" operator="equal">
      <formula>"Rejected"</formula>
    </cfRule>
    <cfRule type="cellIs" dxfId="38" priority="23" operator="equal">
      <formula>"Need to Apply"</formula>
    </cfRule>
    <cfRule type="cellIs" dxfId="37" priority="24" operator="equal">
      <formula>"Negotiating"</formula>
    </cfRule>
    <cfRule type="cellIs" dxfId="36" priority="25" operator="equal">
      <formula>"Job Order"</formula>
    </cfRule>
    <cfRule type="cellIs" dxfId="35" priority="26" operator="equal">
      <formula>"Interviewing"</formula>
    </cfRule>
    <cfRule type="cellIs" dxfId="34" priority="27" operator="equal">
      <formula>"Applied"</formula>
    </cfRule>
  </conditionalFormatting>
  <conditionalFormatting sqref="E17:E55">
    <cfRule type="cellIs" dxfId="33" priority="19" operator="equal">
      <formula>"HIgh"</formula>
    </cfRule>
    <cfRule type="cellIs" dxfId="32" priority="20" operator="equal">
      <formula>"Medium"</formula>
    </cfRule>
    <cfRule type="cellIs" dxfId="31" priority="21" operator="equal">
      <formula>"Low"</formula>
    </cfRule>
  </conditionalFormatting>
  <conditionalFormatting sqref="F17 F19:F55">
    <cfRule type="expression" dxfId="30" priority="41">
      <formula>$F$17:$F$55 =TRUE</formula>
    </cfRule>
  </conditionalFormatting>
  <conditionalFormatting sqref="F17:F55">
    <cfRule type="cellIs" dxfId="29" priority="1" operator="equal">
      <formula>"No"</formula>
    </cfRule>
    <cfRule type="cellIs" dxfId="28" priority="2" operator="equal">
      <formula>"Yes"</formula>
    </cfRule>
  </conditionalFormatting>
  <conditionalFormatting sqref="G17:G55">
    <cfRule type="cellIs" dxfId="27" priority="11" operator="equal">
      <formula>"Contract"</formula>
    </cfRule>
    <cfRule type="cellIs" dxfId="26" priority="12" operator="equal">
      <formula>"Part-Time"</formula>
    </cfRule>
    <cfRule type="cellIs" dxfId="25" priority="13" operator="equal">
      <formula>"Full-Time"</formula>
    </cfRule>
  </conditionalFormatting>
  <conditionalFormatting sqref="H17:H55">
    <cfRule type="cellIs" dxfId="24" priority="8" operator="equal">
      <formula>"Hybrid"</formula>
    </cfRule>
    <cfRule type="cellIs" dxfId="23" priority="9" operator="equal">
      <formula>"Remote"</formula>
    </cfRule>
    <cfRule type="cellIs" dxfId="22" priority="10" operator="equal">
      <formula>"On-Site"</formula>
    </cfRule>
  </conditionalFormatting>
  <dataValidations count="5">
    <dataValidation type="list" allowBlank="1" showInputMessage="1" showErrorMessage="1" sqref="E17:E55" xr:uid="{503BDC2E-6EF2-4E08-9CA5-4AA071355E57}">
      <formula1>"Low, Medium, High"</formula1>
    </dataValidation>
    <dataValidation type="list" allowBlank="1" showInputMessage="1" showErrorMessage="1" sqref="G17:G55" xr:uid="{A6F8238F-0C34-4728-B63A-D6EEA07EE402}">
      <formula1>"Full-Time, Part-Time, Contract"</formula1>
    </dataValidation>
    <dataValidation type="list" allowBlank="1" showInputMessage="1" showErrorMessage="1" sqref="H17:H55" xr:uid="{45195BCF-B6D4-466F-8E6F-61135E0E06E4}">
      <formula1>"On-Site, Remote, Hybrid"</formula1>
    </dataValidation>
    <dataValidation type="list" allowBlank="1" showInputMessage="1" showErrorMessage="1" sqref="F19:F55 F17" xr:uid="{C9CB8CBE-E7B7-48BE-A3DB-5189E3A63298}">
      <formula1>"Yes, No"</formula1>
    </dataValidation>
    <dataValidation type="list" allowBlank="1" showInputMessage="1" showErrorMessage="1" sqref="B17:B55" xr:uid="{C1DB4B05-A924-45B4-A650-D12A12283EDC}">
      <formula1>"Applied, Interviewing, Job Order, Negotiating, Need to Apply, Rejected"</formula1>
    </dataValidation>
  </dataValidations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6" operator="containsText" id="{41AC08F2-42BD-4127-A63C-C02E5B739EE1}">
            <xm:f>NOT(ISERROR(SEARCH($B$17,B17)))</xm:f>
            <xm:f>$B$17</xm:f>
            <x14:dxf>
              <font>
                <color theme="0"/>
              </font>
              <fill>
                <patternFill>
                  <bgColor rgb="FF54363B"/>
                </patternFill>
              </fill>
            </x14:dxf>
          </x14:cfRule>
          <x14:cfRule type="containsText" priority="37" operator="containsText" id="{5962C6CE-EC92-451A-93D9-77B96FCCBC26}">
            <xm:f>NOT(ISERROR(SEARCH($B$17,B17)))</xm:f>
            <xm:f>$B$17</xm:f>
            <x14:dxf>
              <font>
                <color theme="0"/>
              </font>
              <fill>
                <patternFill>
                  <bgColor rgb="FF3A1E22"/>
                </patternFill>
              </fill>
            </x14:dxf>
          </x14:cfRule>
          <x14:cfRule type="containsText" priority="38" operator="containsText" id="{B7022C96-B2CC-4292-8350-16E031531D70}">
            <xm:f>NOT(ISERROR(SEARCH($B$17,B17)))</xm:f>
            <xm:f>$B$17</xm:f>
            <x14:dxf>
              <font>
                <color theme="0"/>
              </font>
              <fill>
                <patternFill>
                  <bgColor rgb="FF54363B"/>
                </patternFill>
              </fill>
            </x14:dxf>
          </x14:cfRule>
          <x14:cfRule type="containsText" priority="39" operator="containsText" id="{2CEDB7A3-FA13-4545-8C5E-FA82A9F68E75}">
            <xm:f>NOT(ISERROR(SEARCH($B$17,B17)))</xm:f>
            <xm:f>$B$17</xm:f>
            <x14:dxf>
              <font>
                <color theme="0"/>
              </font>
              <fill>
                <patternFill>
                  <bgColor rgb="FF3A1E22"/>
                </patternFill>
              </fill>
            </x14:dxf>
          </x14:cfRule>
          <xm:sqref>B17:B36</xm:sqref>
        </x14:conditionalFormatting>
        <x14:conditionalFormatting xmlns:xm="http://schemas.microsoft.com/office/excel/2006/main">
          <x14:cfRule type="containsText" priority="40" operator="containsText" id="{1730F141-776D-4424-91CC-71E4273DD917}">
            <xm:f>NOT(ISERROR(SEARCH(#REF!,C19)))</xm:f>
            <xm:f>#REF!</xm:f>
            <x14:dxf>
              <font>
                <color theme="0"/>
              </font>
              <fill>
                <patternFill>
                  <bgColor rgb="FFFFFF00"/>
                </patternFill>
              </fill>
            </x14:dxf>
          </x14:cfRule>
          <xm:sqref>C19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CB3FE-E11D-4CCD-9CBA-50E2F8D4A3DB}">
  <sheetPr codeName="Sheet2"/>
  <dimension ref="A3:B14"/>
  <sheetViews>
    <sheetView workbookViewId="0">
      <selection activeCell="G13" sqref="G13"/>
    </sheetView>
  </sheetViews>
  <sheetFormatPr defaultRowHeight="14.45"/>
  <cols>
    <col min="1" max="1" width="15.85546875" bestFit="1" customWidth="1"/>
    <col min="2" max="2" width="11.28515625" bestFit="1" customWidth="1"/>
  </cols>
  <sheetData>
    <row r="3" spans="1:2">
      <c r="A3" s="12" t="s">
        <v>18</v>
      </c>
      <c r="B3" t="s">
        <v>19</v>
      </c>
    </row>
    <row r="4" spans="1:2">
      <c r="A4" s="13" t="s">
        <v>20</v>
      </c>
      <c r="B4" s="21">
        <v>39</v>
      </c>
    </row>
    <row r="5" spans="1:2">
      <c r="A5" s="13" t="s">
        <v>21</v>
      </c>
      <c r="B5" s="21">
        <v>39</v>
      </c>
    </row>
    <row r="12" spans="1:2">
      <c r="A12" s="12" t="s">
        <v>22</v>
      </c>
      <c r="B12" t="s">
        <v>19</v>
      </c>
    </row>
    <row r="13" spans="1:2">
      <c r="A13" s="13" t="s">
        <v>20</v>
      </c>
      <c r="B13" s="21">
        <v>39</v>
      </c>
    </row>
    <row r="14" spans="1:2">
      <c r="A14" s="13" t="s">
        <v>21</v>
      </c>
      <c r="B14" s="21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02697-2828-4034-A4B5-D3AC95A2E88C}">
  <sheetPr codeName="Sheet3"/>
  <dimension ref="B6:B11"/>
  <sheetViews>
    <sheetView workbookViewId="0">
      <selection activeCell="G11" sqref="B6:G11"/>
    </sheetView>
  </sheetViews>
  <sheetFormatPr defaultRowHeight="14.45"/>
  <sheetData>
    <row r="6" spans="2:2">
      <c r="B6" t="s">
        <v>23</v>
      </c>
    </row>
    <row r="7" spans="2:2">
      <c r="B7" t="s">
        <v>24</v>
      </c>
    </row>
    <row r="8" spans="2:2">
      <c r="B8" t="s">
        <v>25</v>
      </c>
    </row>
    <row r="9" spans="2:2">
      <c r="B9" t="s">
        <v>26</v>
      </c>
    </row>
    <row r="10" spans="2:2">
      <c r="B10" t="s">
        <v>27</v>
      </c>
    </row>
    <row r="11" spans="2:2">
      <c r="B11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8080</dc:creator>
  <cp:keywords/>
  <dc:description/>
  <cp:lastModifiedBy/>
  <cp:revision/>
  <dcterms:created xsi:type="dcterms:W3CDTF">2024-10-08T10:11:27Z</dcterms:created>
  <dcterms:modified xsi:type="dcterms:W3CDTF">2024-10-09T13:04:41Z</dcterms:modified>
  <cp:category/>
  <cp:contentStatus/>
</cp:coreProperties>
</file>